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Checklist" sheetId="2" state="visible" r:id="rId2"/>
    <sheet xmlns:r="http://schemas.openxmlformats.org/officeDocument/2006/relationships" name="Dataset Log" sheetId="3" state="visible" r:id="rId3"/>
    <sheet xmlns:r="http://schemas.openxmlformats.org/officeDocument/2006/relationships" name="How to Use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dd-mmm-yyyy"/>
  </numFmts>
  <fonts count="9">
    <font>
      <name val="Carlito"/>
      <sz val="11"/>
    </font>
    <font>
      <name val="Carlito"/>
      <b val="1"/>
      <color rgb="FFFFFFFF"/>
      <sz val="10"/>
    </font>
    <font>
      <name val="Carlito"/>
      <color rgb="FF07171D"/>
      <sz val="10"/>
    </font>
    <font>
      <name val="Carlito"/>
      <b val="1"/>
      <color rgb="FFFFFFFF"/>
      <sz val="18"/>
    </font>
    <font>
      <name val="Carlito"/>
      <color rgb="FFFFFFFF"/>
      <sz val="10"/>
    </font>
    <font>
      <name val="Carlito"/>
      <b val="1"/>
      <color rgb="FFFFFFFF"/>
      <sz val="9"/>
    </font>
    <font>
      <name val="Carlito"/>
      <b val="1"/>
      <color rgb="FF07171D"/>
      <sz val="16"/>
    </font>
    <font>
      <name val="Carlito"/>
      <b val="1"/>
      <color rgb="FFFFFFFF"/>
      <sz val="11"/>
    </font>
    <font>
      <name val="Carlito"/>
      <b val="1"/>
      <color rgb="FF07171D"/>
      <sz val="10"/>
    </font>
  </fonts>
  <fills count="7">
    <fill>
      <patternFill/>
    </fill>
    <fill>
      <patternFill patternType="gray125"/>
    </fill>
    <fill>
      <patternFill patternType="solid">
        <fgColor rgb="FF00242B"/>
      </patternFill>
    </fill>
    <fill>
      <patternFill patternType="solid">
        <fgColor rgb="FF07171D"/>
      </patternFill>
    </fill>
    <fill>
      <patternFill patternType="solid">
        <fgColor rgb="FFEAF4F5"/>
      </patternFill>
    </fill>
    <fill>
      <patternFill patternType="solid">
        <fgColor rgb="FF32C6D3"/>
      </patternFill>
    </fill>
    <fill>
      <patternFill patternType="solid">
        <fgColor rgb="FFF4F8F9"/>
      </patternFill>
    </fill>
  </fills>
  <borders count="2">
    <border/>
    <border/>
  </borders>
  <cellStyleXfs count="1">
    <xf numFmtId="0" fontId="0" fillId="0" borderId="1"/>
  </cellStyleXfs>
  <cellXfs count="88">
    <xf numFmtId="0" fontId="0" fillId="0" borderId="0" pivotButton="0" quotePrefix="0" xfId="0"/>
    <xf numFmtId="0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wrapText="1"/>
    </xf>
    <xf numFmtId="0" fontId="5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9" fontId="0" fillId="4" borderId="0" pivotButton="0" quotePrefix="0" xfId="0"/>
    <xf numFmtId="9" fontId="6" fillId="4" borderId="0" pivotButton="0" quotePrefix="0" xfId="0"/>
    <xf numFmtId="9" fontId="6" fillId="4" borderId="0" applyAlignment="1" pivotButton="0" quotePrefix="0" xfId="0">
      <alignment horizontal="center"/>
    </xf>
    <xf numFmtId="9" fontId="6" fillId="4" borderId="0" applyAlignment="1" pivotButton="0" quotePrefix="0" xfId="0">
      <alignment horizontal="center" vertical="center"/>
    </xf>
    <xf numFmtId="9" fontId="0" fillId="4" borderId="1" pivotButton="0" quotePrefix="0" xfId="0"/>
    <xf numFmtId="9" fontId="6" fillId="4" borderId="1" pivotButton="0" quotePrefix="0" xfId="0"/>
    <xf numFmtId="9" fontId="6" fillId="4" borderId="1" applyAlignment="1" pivotButton="0" quotePrefix="0" xfId="0">
      <alignment horizontal="center"/>
    </xf>
    <xf numFmtId="9" fontId="6" fillId="4" borderId="1" applyAlignment="1" pivotButton="0" quotePrefix="0" xfId="0">
      <alignment horizontal="center" vertical="center"/>
    </xf>
    <xf numFmtId="0" fontId="7" fillId="2" borderId="0" pivotButton="0" quotePrefix="0" xfId="0"/>
    <xf numFmtId="0" fontId="7" fillId="2" borderId="0" applyAlignment="1" pivotButton="0" quotePrefix="0" xfId="0">
      <alignment vertical="center"/>
    </xf>
    <xf numFmtId="0" fontId="7" fillId="2" borderId="1" pivotButton="0" quotePrefix="0" xfId="0"/>
    <xf numFmtId="0" fontId="7" fillId="2" borderId="1" applyAlignment="1" pivotButton="0" quotePrefix="0" xfId="0">
      <alignment vertical="center"/>
    </xf>
    <xf numFmtId="0" fontId="0" fillId="5" borderId="0" pivotButton="0" quotePrefix="0" xfId="0"/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center" wrapText="1"/>
    </xf>
    <xf numFmtId="0" fontId="0" fillId="5" borderId="1" pivotButton="0" quotePrefix="0" xfId="0"/>
    <xf numFmtId="0" fontId="8" fillId="5" borderId="1" pivotButton="0" quotePrefix="0" xfId="0"/>
    <xf numFmtId="0" fontId="8" fillId="5" borderId="1" applyAlignment="1" pivotButton="0" quotePrefix="0" xfId="0">
      <alignment wrapText="1"/>
    </xf>
    <xf numFmtId="0" fontId="8" fillId="5" borderId="1" applyAlignment="1" pivotButton="0" quotePrefix="0" xfId="0">
      <alignment vertical="center" wrapText="1"/>
    </xf>
    <xf numFmtId="0" fontId="8" fillId="5" borderId="0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2" fillId="6" borderId="0" applyAlignment="1" pivotButton="0" quotePrefix="0" xfId="0">
      <alignment vertical="center" wrapText="1"/>
    </xf>
    <xf numFmtId="0" fontId="0" fillId="6" borderId="1" pivotButton="0" quotePrefix="0" xfId="0"/>
    <xf numFmtId="0" fontId="2" fillId="6" borderId="1" pivotButton="0" quotePrefix="0" xfId="0"/>
    <xf numFmtId="0" fontId="2" fillId="6" borderId="1" applyAlignment="1" pivotButton="0" quotePrefix="0" xfId="0">
      <alignment wrapText="1"/>
    </xf>
    <xf numFmtId="0" fontId="2" fillId="6" borderId="1" applyAlignment="1" pivotButton="0" quotePrefix="0" xfId="0">
      <alignment vertical="center" wrapText="1"/>
    </xf>
    <xf numFmtId="9" fontId="6" fillId="4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top" wrapText="1"/>
    </xf>
  </cellXfs>
  <cellStyles count="1">
    <cellStyle name="Normal" xfId="0"/>
  </cellStyles>
  <dxfs count="11">
    <dxf>
      <font>
        <b val="1"/>
        <color rgb="FF166534"/>
      </font>
      <fill>
        <patternFill patternType="solid">
          <bgColor rgb="FFD9FBE8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92400E"/>
      </font>
      <fill>
        <patternFill patternType="solid">
          <bgColor rgb="FFFFF1CC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color rgb="FF64748B"/>
      </font>
      <fill>
        <patternFill patternType="solid">
          <bgColor rgb="FFF4F8F9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FF1CC"/>
        </patternFill>
      </fill>
    </dxf>
    <dxf>
      <font>
        <color rgb="FF166534"/>
      </font>
      <fill>
        <patternFill patternType="solid">
          <bgColor rgb="FFD9FBE8"/>
        </patternFill>
      </fill>
    </dxf>
    <dxf>
      <font>
        <b val="1"/>
        <color rgb="FF166534"/>
      </font>
      <fill>
        <patternFill patternType="solid">
          <bgColor rgb="FFD9FBE8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FF1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LensMasterChecklist" displayName="MedLensMasterChecklist" ref="A1:J64" headerRowCount="1" totalsRowCount="0" totalsRowShown="0">
  <tableColumns count="10">
    <tableColumn id="1" name="ID"/>
    <tableColumn id="2" name="Workstream"/>
    <tableColumn id="3" name="Task"/>
    <tableColumn id="4" name="Priority"/>
    <tableColumn id="5" name="Status"/>
    <tableColumn id="6" name="Target Date"/>
    <tableColumn id="7" name="Depends On"/>
    <tableColumn id="8" name="Acceptance Criteria / Definition of Done"/>
    <tableColumn id="9" name="Current Notes"/>
    <tableColumn id="10" name="Evidence / File / 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setIntakeLog" displayName="DatasetIntakeLog" ref="A1:R51" headerRowCount="1" totalsRowCount="0" totalsRowShown="0">
  <tableColumns count="18">
    <tableColumn id="1" name="Sample ID"/>
    <tableColumn id="2" name="Product Family ID"/>
    <tableColumn id="3" name="Medicine / Brand"/>
    <tableColumn id="4" name="Packaging Type"/>
    <tableColumn id="5" name="Photo / Panel"/>
    <tableColumn id="6" name="Image File Path"/>
    <tableColumn id="7" name="Source Type"/>
    <tableColumn id="8" name="Source URL / Origin"/>
    <tableColumn id="9" name="Permission / Use Basis Checked?"/>
    <tableColumn id="10" name="Synthetic Fixture?"/>
    <tableColumn id="11" name="Annotation File"/>
    <tableColumn id="12" name="Annotation Status"/>
    <tableColumn id="13" name="Human Reviewer"/>
    <tableColumn id="14" name="Ground Truth Verified?"/>
    <tableColumn id="15" name="Eligible for Real Training?"/>
    <tableColumn id="16" name="Split Group"/>
    <tableColumn id="17" name="Review Date"/>
    <tableColumn id="18" name="Notes / Unclear Tex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ckerGuide" displayName="TrackerGuide" ref="A4:C14" headerRowCount="1" totalsRowCount="0" totalsRowShown="0">
  <tableColumns count="3">
    <tableColumn id="1" name="Field / Sheet"/>
    <tableColumn id="2" name="What to do"/>
    <tableColumn id="3" name="Important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15" customWidth="1" min="3" max="3"/>
    <col width="20" customWidth="1" min="4" max="4"/>
    <col width="15" customWidth="1" min="5" max="5"/>
    <col width="15" customWidth="1" min="6" max="6"/>
    <col width="23" customWidth="1" min="7" max="7"/>
    <col width="15" customWidth="1" min="8" max="8"/>
    <col width="20" customWidth="1" min="9" max="9"/>
    <col width="15" customWidth="1" min="10" max="10"/>
    <col width="17" customWidth="1" min="11" max="11"/>
  </cols>
  <sheetData>
    <row r="1" ht="36" customHeight="1">
      <c r="A1" s="31" t="inlineStr">
        <is>
          <t>MEDLENS | CAPSTONE DELIVERY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5" customHeight="1">
      <c r="A2" s="37" t="inlineStr">
        <is>
          <t>Master checklist • Deadline: 27 November 2026 • Update status as work is completed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27" customHeight="1">
      <c r="A4" s="41" t="inlineStr">
        <is>
          <t>TOTAL TASKS</t>
        </is>
      </c>
      <c r="C4" s="41" t="inlineStr">
        <is>
          <t>DONE</t>
        </is>
      </c>
      <c r="E4" s="41" t="inlineStr">
        <is>
          <t>IN PROGRESS</t>
        </is>
      </c>
      <c r="G4" s="41" t="inlineStr">
        <is>
          <t>NEEDS VERIFICATION</t>
        </is>
      </c>
      <c r="I4" s="41" t="inlineStr">
        <is>
          <t>NOT STARTED</t>
        </is>
      </c>
      <c r="K4" s="41" t="inlineStr">
        <is>
          <t>COMPLETION</t>
        </is>
      </c>
    </row>
    <row r="5" ht="32" customHeight="1">
      <c r="A5" s="49">
        <f>COUNTA('Master Checklist'!$A$2:$A$64)</f>
        <v/>
      </c>
      <c r="C5" s="49">
        <f>COUNTIF('Master Checklist'!$E$2:$E$64,"Done")</f>
        <v/>
      </c>
      <c r="E5" s="49">
        <f>COUNTIF('Master Checklist'!$E$2:$E$64,"In Progress")</f>
        <v/>
      </c>
      <c r="G5" s="49">
        <f>COUNTIF('Master Checklist'!$E$2:$E$64,"Needs Verification")</f>
        <v/>
      </c>
      <c r="I5" s="49">
        <f>COUNTIF('Master Checklist'!$E$2:$E$64,"Not Started")</f>
        <v/>
      </c>
      <c r="K5" s="86">
        <f>IFERROR(C5/A5,0)</f>
        <v/>
      </c>
    </row>
    <row r="8" ht="26" customHeight="1">
      <c r="A8" s="65" t="inlineStr">
        <is>
          <t>DELIVERY MILESTONES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30" customHeight="1">
      <c r="A9" s="69" t="inlineStr">
        <is>
          <t>Target window</t>
        </is>
      </c>
      <c r="B9" s="69" t="inlineStr">
        <is>
          <t>Milestone</t>
        </is>
      </c>
      <c r="C9" s="69" t="inlineStr">
        <is>
          <t>Done definition</t>
        </is>
      </c>
      <c r="D9" s="69" t="inlineStr">
        <is>
          <t>Priority / notes</t>
        </is>
      </c>
      <c r="E9" s="73" t="inlineStr">
        <is>
          <t>Before marking a feature complete</t>
        </is>
      </c>
      <c r="F9" s="1" t="n"/>
      <c r="G9" s="1" t="n"/>
      <c r="H9" s="1" t="n"/>
      <c r="I9" s="1" t="n"/>
      <c r="J9" s="1" t="n"/>
      <c r="K9" s="1" t="n"/>
    </row>
    <row r="10" ht="52" customHeight="1">
      <c r="A10" s="16" t="inlineStr">
        <is>
          <t>Oct 28–31</t>
        </is>
      </c>
      <c r="B10" s="16" t="inlineStr">
        <is>
          <t>Stabilize current implementation</t>
        </is>
      </c>
      <c r="C10" s="16" t="inlineStr">
        <is>
          <t>Reconcile test counts; verify dataset eligibility; fix comparison and seed-evidence issues.</t>
        </is>
      </c>
      <c r="D10" s="16" t="inlineStr">
        <is>
          <t>Critical foundation</t>
        </is>
      </c>
      <c r="E10" s="85" t="inlineStr">
        <is>
          <t>Core pipeline must not require a Gemini/OpenAI/Claude API key.</t>
        </is>
      </c>
      <c r="F10" s="1" t="n"/>
      <c r="G10" s="1" t="n"/>
      <c r="H10" s="1" t="n"/>
      <c r="I10" s="1" t="n"/>
      <c r="J10" s="1" t="n"/>
      <c r="K10" s="1" t="n"/>
    </row>
    <row r="11" ht="52" customHeight="1">
      <c r="A11" s="16" t="inlineStr">
        <is>
          <t>Nov 1–6</t>
        </is>
      </c>
      <c r="B11" s="16" t="inlineStr">
        <is>
          <t>OCR + dataset intake</t>
        </is>
      </c>
      <c r="C11" s="16" t="inlineStr">
        <is>
          <t>OpenCV quality checks, OCR benchmark/service, first 10–20 authentic Indian packaging images.</t>
        </is>
      </c>
      <c r="D11" s="16" t="inlineStr">
        <is>
          <t>Start with real, permitted images</t>
        </is>
      </c>
      <c r="E11" s="85" t="inlineStr">
        <is>
          <t>Prioritize genuine Indian medicine packaging and suitable Indian references.</t>
        </is>
      </c>
      <c r="F11" s="1" t="n"/>
      <c r="G11" s="1" t="n"/>
      <c r="H11" s="1" t="n"/>
      <c r="I11" s="1" t="n"/>
      <c r="J11" s="1" t="n"/>
      <c r="K11" s="1" t="n"/>
    </row>
    <row r="12" ht="52" customHeight="1">
      <c r="A12" s="16" t="inlineStr">
        <is>
          <t>Nov 7–12</t>
        </is>
      </c>
      <c r="B12" s="16" t="inlineStr">
        <is>
          <t>Real scan-to-report</t>
        </is>
      </c>
      <c r="C12" s="16" t="inlineStr">
        <is>
          <t>Upload creates persistent analysis ID; OCR → extraction → normalization → evidence lookup → saved report; UI displays real result.</t>
        </is>
      </c>
      <c r="D12" s="16" t="inlineStr">
        <is>
          <t>Core end-to-end milestone</t>
        </is>
      </c>
      <c r="E12" s="85" t="inlineStr">
        <is>
          <t>A medical claim is not verified unless a specific supporting source is recorded.</t>
        </is>
      </c>
      <c r="F12" s="1" t="n"/>
      <c r="G12" s="1" t="n"/>
      <c r="H12" s="1" t="n"/>
      <c r="I12" s="1" t="n"/>
      <c r="J12" s="1" t="n"/>
      <c r="K12" s="1" t="n"/>
    </row>
    <row r="13" ht="52" customHeight="1">
      <c r="A13" s="16" t="inlineStr">
        <is>
          <t>Nov 13–16</t>
        </is>
      </c>
      <c r="B13" s="16" t="inlineStr">
        <is>
          <t>History + allergy alerts</t>
        </is>
      </c>
      <c r="C13" s="16" t="inlineStr">
        <is>
          <t>Persistent history and protected profile allergies; evidence-backed matching warnings.</t>
        </is>
      </c>
      <c r="D13" s="16" t="inlineStr">
        <is>
          <t>Informational, not diagnostic</t>
        </is>
      </c>
      <c r="E13" s="85" t="inlineStr">
        <is>
          <t>Synthetic fixtures and unverified annotations must stay out of real-world evaluation.</t>
        </is>
      </c>
      <c r="F13" s="1" t="n"/>
      <c r="G13" s="1" t="n"/>
      <c r="H13" s="1" t="n"/>
      <c r="I13" s="1" t="n"/>
      <c r="J13" s="1" t="n"/>
      <c r="K13" s="1" t="n"/>
    </row>
    <row r="14" ht="52" customHeight="1">
      <c r="A14" s="16" t="inlineStr">
        <is>
          <t>Nov 17–20</t>
        </is>
      </c>
      <c r="B14" s="16" t="inlineStr">
        <is>
          <t>Reference adapters + comparison</t>
        </is>
      </c>
      <c r="C14" s="16" t="inlineStr">
        <is>
          <t>External lookups with caching/provenance; comparisons handle all ingredients and uncertainty.</t>
        </is>
      </c>
      <c r="D14" s="16" t="inlineStr">
        <is>
          <t>Include appropriate Indian sources</t>
        </is>
      </c>
      <c r="E14" s="85" t="inlineStr">
        <is>
          <t>Never compare strengths unless units and strength bases are compatible.</t>
        </is>
      </c>
      <c r="F14" s="1" t="n"/>
      <c r="G14" s="1" t="n"/>
      <c r="H14" s="1" t="n"/>
      <c r="I14" s="1" t="n"/>
      <c r="J14" s="1" t="n"/>
      <c r="K14" s="1" t="n"/>
    </row>
    <row r="15" ht="52" customHeight="1">
      <c r="A15" s="16" t="inlineStr">
        <is>
          <t>Nov 21–23</t>
        </is>
      </c>
      <c r="B15" s="16" t="inlineStr">
        <is>
          <t>Dataset + ML evaluation</t>
        </is>
      </c>
      <c r="C15" s="16" t="inlineStr">
        <is>
          <t>Expand dataset; evaluate baseline; train only if data are adequate; publish honest metrics.</t>
        </is>
      </c>
      <c r="D15" s="16" t="inlineStr">
        <is>
          <t>No fake accuracy claims</t>
        </is>
      </c>
      <c r="E15" s="85" t="inlineStr">
        <is>
          <t>No interaction found in available data does not prove that no interaction exists.</t>
        </is>
      </c>
      <c r="F15" s="1" t="n"/>
      <c r="G15" s="1" t="n"/>
      <c r="H15" s="1" t="n"/>
      <c r="I15" s="1" t="n"/>
      <c r="J15" s="1" t="n"/>
      <c r="K15" s="1" t="n"/>
    </row>
    <row r="16" ht="52" customHeight="1">
      <c r="A16" s="16" t="inlineStr">
        <is>
          <t>Nov 24–25</t>
        </is>
      </c>
      <c r="B16" s="16" t="inlineStr">
        <is>
          <t>Database + deployment</t>
        </is>
      </c>
      <c r="C16" s="16" t="inlineStr">
        <is>
          <t>PostgreSQL, Docker, CI, deployment smoke tests and secrets configured safely.</t>
        </is>
      </c>
      <c r="D16" s="16" t="inlineStr">
        <is>
          <t>Redis only if needed</t>
        </is>
      </c>
      <c r="E16" s="85" t="inlineStr">
        <is>
          <t>Keep image retention, profile allergies and scan-history access privacy-conscious.</t>
        </is>
      </c>
      <c r="F16" s="1" t="n"/>
      <c r="G16" s="1" t="n"/>
      <c r="H16" s="1" t="n"/>
      <c r="I16" s="1" t="n"/>
      <c r="J16" s="1" t="n"/>
      <c r="K16" s="1" t="n"/>
    </row>
    <row r="17" ht="52" customHeight="1">
      <c r="A17" s="16" t="inlineStr">
        <is>
          <t>Nov 26–27</t>
        </is>
      </c>
      <c r="B17" s="16" t="inlineStr">
        <is>
          <t>Final verification</t>
        </is>
      </c>
      <c r="C17" s="16" t="inlineStr">
        <is>
          <t>End-to-end tests, documentation, demo flow and final acceptance checklist.</t>
        </is>
      </c>
      <c r="D17" s="16" t="inlineStr">
        <is>
          <t>Deadline: 27 Nov 2026</t>
        </is>
      </c>
      <c r="E17" s="85" t="inlineStr">
        <is>
          <t>Do not claim meaningful ML accuracy from an undersized or leaking test set.</t>
        </is>
      </c>
      <c r="F17" s="1" t="n"/>
      <c r="G17" s="1" t="n"/>
      <c r="H17" s="1" t="n"/>
      <c r="I17" s="1" t="n"/>
      <c r="J17" s="1" t="n"/>
      <c r="K17" s="1" t="n"/>
    </row>
    <row r="20" ht="26" customHeight="1">
      <c r="A20" s="65" t="inlineStr">
        <is>
          <t>HOW TO USE THIS TRACKER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26" customHeight="1">
      <c r="A21" s="75" t="inlineStr">
        <is>
          <t>1</t>
        </is>
      </c>
      <c r="B21" s="85" t="inlineStr">
        <is>
          <t>Open Master Checklist and change the Status dropdown as you work.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26" customHeight="1">
      <c r="A22" s="75" t="inlineStr">
        <is>
          <t>2</t>
        </is>
      </c>
      <c r="B22" s="85" t="inlineStr">
        <is>
          <t>Mark a task Done only when its acceptance criteria are met and the result has been tested.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26" customHeight="1">
      <c r="A23" s="75" t="inlineStr">
        <is>
          <t>3</t>
        </is>
      </c>
      <c r="B23" s="85" t="inlineStr">
        <is>
          <t>For code tasks, add a file path, commit/PR link, test command or screenshot in Evidence / File / Link.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26" customHeight="1">
      <c r="A24" s="75" t="inlineStr">
        <is>
          <t>4</t>
        </is>
      </c>
      <c r="B24" s="85" t="inlineStr">
        <is>
          <t>Use Needs Verification for features Antigravity reports as complete but you have not checked yet.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26" customHeight="1">
      <c r="A25" s="75" t="inlineStr">
        <is>
          <t>5</t>
        </is>
      </c>
      <c r="B25" s="85" t="inlineStr">
        <is>
          <t>Use Dataset Log to record every image, source/permission, product family and annotation review.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26" customHeight="1">
      <c r="A26" s="75" t="inlineStr">
        <is>
          <t>6</t>
        </is>
      </c>
      <c r="B26" s="85" t="inlineStr">
        <is>
          <t>Keep synthetic fixtures and unverified annotations out of the real-world training/evaluation set.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</sheetData>
  <mergeCells count="21">
    <mergeCell ref="A8:D8"/>
    <mergeCell ref="E16:K16"/>
    <mergeCell ref="B24:K24"/>
    <mergeCell ref="A1:K1"/>
    <mergeCell ref="B26:K26"/>
    <mergeCell ref="E12:K12"/>
    <mergeCell ref="B25:K25"/>
    <mergeCell ref="E8:K8"/>
    <mergeCell ref="B22:K22"/>
    <mergeCell ref="E14:K14"/>
    <mergeCell ref="E17:K17"/>
    <mergeCell ref="B21:K21"/>
    <mergeCell ref="A2:K2"/>
    <mergeCell ref="E10:K10"/>
    <mergeCell ref="A8:K8"/>
    <mergeCell ref="B23:K23"/>
    <mergeCell ref="E13:K13"/>
    <mergeCell ref="A20:K20"/>
    <mergeCell ref="E9:K9"/>
    <mergeCell ref="E15:K15"/>
    <mergeCell ref="E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min="1" max="1"/>
    <col width="23" customWidth="1" min="2" max="2"/>
    <col width="48" customWidth="1" min="3" max="3"/>
    <col width="12" customWidth="1" min="4" max="4"/>
    <col width="21" customWidth="1" min="5" max="5"/>
    <col width="14" customWidth="1" min="6" max="6"/>
    <col width="26" customWidth="1" min="7" max="7"/>
    <col width="58" customWidth="1" min="8" max="8"/>
    <col width="48" customWidth="1" min="9" max="9"/>
    <col width="38" customWidth="1" min="10" max="10"/>
  </cols>
  <sheetData>
    <row r="1" ht="34" customHeight="1">
      <c r="A1" s="8" t="inlineStr">
        <is>
          <t>ID</t>
        </is>
      </c>
      <c r="B1" s="8" t="inlineStr">
        <is>
          <t>Workstream</t>
        </is>
      </c>
      <c r="C1" s="8" t="inlineStr">
        <is>
          <t>Task</t>
        </is>
      </c>
      <c r="D1" s="8" t="inlineStr">
        <is>
          <t>Priority</t>
        </is>
      </c>
      <c r="E1" s="8" t="inlineStr">
        <is>
          <t>Status</t>
        </is>
      </c>
      <c r="F1" s="8" t="inlineStr">
        <is>
          <t>Target Date</t>
        </is>
      </c>
      <c r="G1" s="8" t="inlineStr">
        <is>
          <t>Depends On</t>
        </is>
      </c>
      <c r="H1" s="8" t="inlineStr">
        <is>
          <t>Acceptance Criteria / Definition of Done</t>
        </is>
      </c>
      <c r="I1" s="8" t="inlineStr">
        <is>
          <t>Current Notes</t>
        </is>
      </c>
      <c r="J1" s="8" t="inlineStr">
        <is>
          <t>Evidence / File / Link</t>
        </is>
      </c>
    </row>
    <row r="2">
      <c r="A2" s="22" t="inlineStr">
        <is>
          <t>ML-001</t>
        </is>
      </c>
      <c r="B2" s="16" t="inlineStr">
        <is>
          <t>Frontend</t>
        </is>
      </c>
      <c r="C2" s="16" t="inlineStr">
        <is>
          <t>Landing page and MedLens branding UI</t>
        </is>
      </c>
      <c r="D2" s="16" t="inlineStr">
        <is>
          <t>Medium</t>
        </is>
      </c>
      <c r="E2" s="16" t="inlineStr">
        <is>
          <t>Done</t>
        </is>
      </c>
      <c r="F2" s="87" t="n">
        <v>46326</v>
      </c>
      <c r="G2" s="16" t="inlineStr">
        <is>
          <t>—</t>
        </is>
      </c>
      <c r="H2" s="16" t="inlineStr">
        <is>
          <t>Landing page exists and preserves established MedLens brand styling.</t>
        </is>
      </c>
      <c r="I2" s="16" t="inlineStr">
        <is>
          <t>UI scaffolding present in the reviewed branch.</t>
        </is>
      </c>
      <c r="J2" s="16" t="str"/>
    </row>
    <row r="3">
      <c r="A3" s="22" t="inlineStr">
        <is>
          <t>ML-002</t>
        </is>
      </c>
      <c r="B3" s="16" t="inlineStr">
        <is>
          <t>Frontend</t>
        </is>
      </c>
      <c r="C3" s="16" t="inlineStr">
        <is>
          <t>Dashboard UI</t>
        </is>
      </c>
      <c r="D3" s="16" t="inlineStr">
        <is>
          <t>Medium</t>
        </is>
      </c>
      <c r="E3" s="16" t="inlineStr">
        <is>
          <t>Done</t>
        </is>
      </c>
      <c r="F3" s="87" t="n">
        <v>46326</v>
      </c>
      <c r="G3" s="16" t="inlineStr">
        <is>
          <t>—</t>
        </is>
      </c>
      <c r="H3" s="16" t="inlineStr">
        <is>
          <t>Dashboard page renders without relying on missing components.</t>
        </is>
      </c>
      <c r="I3" s="16" t="inlineStr">
        <is>
          <t>UI exists; live metrics are tracked separately.</t>
        </is>
      </c>
      <c r="J3" s="16" t="str"/>
    </row>
    <row r="4">
      <c r="A4" s="22" t="inlineStr">
        <is>
          <t>ML-003</t>
        </is>
      </c>
      <c r="B4" s="16" t="inlineStr">
        <is>
          <t>Frontend</t>
        </is>
      </c>
      <c r="C4" s="16" t="inlineStr">
        <is>
          <t>Scanner UI: upload and camera capture controls</t>
        </is>
      </c>
      <c r="D4" s="16" t="inlineStr">
        <is>
          <t>High</t>
        </is>
      </c>
      <c r="E4" s="16" t="inlineStr">
        <is>
          <t>Done</t>
        </is>
      </c>
      <c r="F4" s="87" t="n">
        <v>46326</v>
      </c>
      <c r="G4" s="16" t="inlineStr">
        <is>
          <t>—</t>
        </is>
      </c>
      <c r="H4" s="16" t="inlineStr">
        <is>
          <t>User can select or capture an image in the UI; backend processing is tracked separately.</t>
        </is>
      </c>
      <c r="I4" s="16" t="inlineStr">
        <is>
          <t>UI exists; end-to-end upload flow is not yet complete.</t>
        </is>
      </c>
      <c r="J4" s="16" t="str"/>
    </row>
    <row r="5">
      <c r="A5" s="22" t="inlineStr">
        <is>
          <t>ML-004</t>
        </is>
      </c>
      <c r="B5" s="16" t="inlineStr">
        <is>
          <t>Frontend</t>
        </is>
      </c>
      <c r="C5" s="16" t="inlineStr">
        <is>
          <t>Results/report UI</t>
        </is>
      </c>
      <c r="D5" s="16" t="inlineStr">
        <is>
          <t>High</t>
        </is>
      </c>
      <c r="E5" s="16" t="inlineStr">
        <is>
          <t>Done</t>
        </is>
      </c>
      <c r="F5" s="87" t="n">
        <v>46326</v>
      </c>
      <c r="G5" s="16" t="inlineStr">
        <is>
          <t>—</t>
        </is>
      </c>
      <c r="H5" s="16" t="inlineStr">
        <is>
          <t>Report layout can display structured product, ingredient, source, and status fields.</t>
        </is>
      </c>
      <c r="I5" s="16" t="inlineStr">
        <is>
          <t>UI exists; dynamic report wiring is tracked separately.</t>
        </is>
      </c>
      <c r="J5" s="16" t="str"/>
    </row>
    <row r="6">
      <c r="A6" s="22" t="inlineStr">
        <is>
          <t>ML-005</t>
        </is>
      </c>
      <c r="B6" s="16" t="inlineStr">
        <is>
          <t>Frontend</t>
        </is>
      </c>
      <c r="C6" s="16" t="inlineStr">
        <is>
          <t>Medicine comparison UI</t>
        </is>
      </c>
      <c r="D6" s="16" t="inlineStr">
        <is>
          <t>High</t>
        </is>
      </c>
      <c r="E6" s="16" t="inlineStr">
        <is>
          <t>Done</t>
        </is>
      </c>
      <c r="F6" s="87" t="n">
        <v>46326</v>
      </c>
      <c r="G6" s="16" t="inlineStr">
        <is>
          <t>—</t>
        </is>
      </c>
      <c r="H6" s="16" t="inlineStr">
        <is>
          <t>Comparison page accepts/selects two products and renders comparison sections.</t>
        </is>
      </c>
      <c r="I6" s="16" t="inlineStr">
        <is>
          <t>UI exists; comparison correctness/integration is tracked separately.</t>
        </is>
      </c>
      <c r="J6" s="16" t="str"/>
    </row>
    <row r="7">
      <c r="A7" s="22" t="inlineStr">
        <is>
          <t>ML-006</t>
        </is>
      </c>
      <c r="B7" s="16" t="inlineStr">
        <is>
          <t>Frontend</t>
        </is>
      </c>
      <c r="C7" s="16" t="inlineStr">
        <is>
          <t>History and profile UI</t>
        </is>
      </c>
      <c r="D7" s="16" t="inlineStr">
        <is>
          <t>Medium</t>
        </is>
      </c>
      <c r="E7" s="16" t="inlineStr">
        <is>
          <t>Done</t>
        </is>
      </c>
      <c r="F7" s="87" t="n">
        <v>46326</v>
      </c>
      <c r="G7" s="16" t="inlineStr">
        <is>
          <t>—</t>
        </is>
      </c>
      <c r="H7" s="16" t="inlineStr">
        <is>
          <t>History and profile pages render; backend persistence is tracked separately.</t>
        </is>
      </c>
      <c r="I7" s="16" t="inlineStr">
        <is>
          <t>UI scaffolding present.</t>
        </is>
      </c>
      <c r="J7" s="16" t="str"/>
    </row>
    <row r="8">
      <c r="A8" s="22" t="inlineStr">
        <is>
          <t>ML-007</t>
        </is>
      </c>
      <c r="B8" s="16" t="inlineStr">
        <is>
          <t>Backend</t>
        </is>
      </c>
      <c r="C8" s="16" t="inlineStr">
        <is>
          <t>FastAPI app, versioned routes, configuration and error structure</t>
        </is>
      </c>
      <c r="D8" s="16" t="inlineStr">
        <is>
          <t>High</t>
        </is>
      </c>
      <c r="E8" s="16" t="inlineStr">
        <is>
          <t>Done</t>
        </is>
      </c>
      <c r="F8" s="87" t="n">
        <v>46326</v>
      </c>
      <c r="G8" s="16" t="inlineStr">
        <is>
          <t>—</t>
        </is>
      </c>
      <c r="H8" s="16" t="inlineStr">
        <is>
          <t>Application starts and exposes documented API routes.</t>
        </is>
      </c>
      <c r="I8" s="16" t="inlineStr">
        <is>
          <t>Backend foundation exists; rerun tests before release.</t>
        </is>
      </c>
      <c r="J8" s="16" t="str"/>
    </row>
    <row r="9">
      <c r="A9" s="22" t="inlineStr">
        <is>
          <t>ML-008</t>
        </is>
      </c>
      <c r="B9" s="16" t="inlineStr">
        <is>
          <t>Backend</t>
        </is>
      </c>
      <c r="C9" s="16" t="inlineStr">
        <is>
          <t>Pydantic schemas and SQLAlchemy model foundation</t>
        </is>
      </c>
      <c r="D9" s="16" t="inlineStr">
        <is>
          <t>High</t>
        </is>
      </c>
      <c r="E9" s="16" t="inlineStr">
        <is>
          <t>Done</t>
        </is>
      </c>
      <c r="F9" s="87" t="n">
        <v>46326</v>
      </c>
      <c r="G9" s="16" t="inlineStr">
        <is>
          <t>—</t>
        </is>
      </c>
      <c r="H9" s="16" t="inlineStr">
        <is>
          <t>Core schemas/models exist for products, ingredients, sources, analyses, and comparisons.</t>
        </is>
      </c>
      <c r="I9" s="16" t="inlineStr">
        <is>
          <t>Schema correctness and production DB behavior remain to verify.</t>
        </is>
      </c>
      <c r="J9" s="16" t="str"/>
    </row>
    <row r="10">
      <c r="A10" s="22" t="inlineStr">
        <is>
          <t>ML-009</t>
        </is>
      </c>
      <c r="B10" s="16" t="inlineStr">
        <is>
          <t>Backend</t>
        </is>
      </c>
      <c r="C10" s="16" t="inlineStr">
        <is>
          <t>Product catalog and seed data review</t>
        </is>
      </c>
      <c r="D10" s="16" t="inlineStr">
        <is>
          <t>High</t>
        </is>
      </c>
      <c r="E10" s="16" t="inlineStr">
        <is>
          <t>Done</t>
        </is>
      </c>
      <c r="F10" s="87" t="n">
        <v>46326</v>
      </c>
      <c r="G10" s="16" t="inlineStr">
        <is>
          <t>Backend models</t>
        </is>
      </c>
      <c r="H10" s="16" t="inlineStr">
        <is>
          <t>Seed records are clearly marked as development data; each clinical claim has supporting evidence or is explicitly unverified.</t>
        </is>
      </c>
      <c r="I10" s="16" t="inlineStr">
        <is>
          <t>Expanded catalog to 22 commercial products, 15 canonical INN ingredients, 28 aliases, clinical claims, and 4 drug-drug interactions in seed.py.</t>
        </is>
      </c>
      <c r="J10" s="16" t="inlineStr">
        <is>
          <t>backend/app/database/seed.py; branch: full-stack-integration (commit 35e3a0a)</t>
        </is>
      </c>
    </row>
    <row r="11">
      <c r="A11" s="22" t="inlineStr">
        <is>
          <t>ML-010</t>
        </is>
      </c>
      <c r="B11" s="16" t="inlineStr">
        <is>
          <t>Backend</t>
        </is>
      </c>
      <c r="C11" s="16" t="inlineStr">
        <is>
          <t>Run current backend tests and reconcile reported test count</t>
        </is>
      </c>
      <c r="D11" s="16" t="inlineStr">
        <is>
          <t>High</t>
        </is>
      </c>
      <c r="E11" s="16" t="inlineStr">
        <is>
          <t>Done</t>
        </is>
      </c>
      <c r="F11" s="87" t="n">
        <v>46326</v>
      </c>
      <c r="G11" s="16" t="inlineStr">
        <is>
          <t>Latest code committed</t>
        </is>
      </c>
      <c r="H11" s="16" t="inlineStr">
        <is>
          <t>Full test suite run locally; test count and results match README/CI.</t>
        </is>
      </c>
      <c r="I11" s="16" t="inlineStr">
        <is>
          <t>Reconciled test suites. Pytest executed with 67 passed in 3.18s across all 6 test modules.</t>
        </is>
      </c>
      <c r="J11" s="16" t="inlineStr">
        <is>
          <t>pytest tests/ -v (67 passed in 3.18s); branch: full-stack-integration</t>
        </is>
      </c>
    </row>
    <row r="12">
      <c r="A12" s="22" t="inlineStr">
        <is>
          <t>ML-011</t>
        </is>
      </c>
      <c r="B12" s="16" t="inlineStr">
        <is>
          <t>Quality &amp; Safety</t>
        </is>
      </c>
      <c r="C12" s="16" t="inlineStr">
        <is>
          <t>Fix comparison strength direction, units, basis, missing values and multi-ingredient handling</t>
        </is>
      </c>
      <c r="D12" s="16" t="inlineStr">
        <is>
          <t>High</t>
        </is>
      </c>
      <c r="E12" s="16" t="inlineStr">
        <is>
          <t>Done</t>
        </is>
      </c>
      <c r="F12" s="87" t="n">
        <v>46326</v>
      </c>
      <c r="G12" s="16" t="inlineStr">
        <is>
          <t>Comparison endpoint</t>
        </is>
      </c>
      <c r="H12" s="16" t="inlineStr">
        <is>
          <t>All ingredient strengths are compared only when units and basis are compatible; no missing value is treated as zero; direction is accurate.</t>
        </is>
      </c>
      <c r="I12" s="16" t="inlineStr">
        <is>
          <t>Comparison handles multi-ingredient formulations, flags unit/strength mismatches, and highlights excipient allergen deltas.</t>
        </is>
      </c>
      <c r="J12" s="16" t="inlineStr">
        <is>
          <t>frontend/app/dashboard/compare/page.tsx; backend/app/services/comparison_service.py</t>
        </is>
      </c>
    </row>
    <row r="13">
      <c r="A13" s="22" t="inlineStr">
        <is>
          <t>ML-012</t>
        </is>
      </c>
      <c r="B13" s="16" t="inlineStr">
        <is>
          <t>Quality &amp; Safety</t>
        </is>
      </c>
      <c r="C13" s="16" t="inlineStr">
        <is>
          <t>Fix interaction checking to evaluate correct cross-product pairs</t>
        </is>
      </c>
      <c r="D13" s="16" t="inlineStr">
        <is>
          <t>High</t>
        </is>
      </c>
      <c r="E13" s="16" t="inlineStr">
        <is>
          <t>Done</t>
        </is>
      </c>
      <c r="F13" s="87" t="n">
        <v>46326</v>
      </c>
      <c r="G13" s="16" t="inlineStr">
        <is>
          <t>Verified ingredient lists</t>
        </is>
      </c>
      <c r="H13" s="16" t="inlineStr">
        <is>
          <t>Only relevant between-product pairs are evaluated for co-administration; insufficient coverage is not presented as 'no interaction'.</t>
        </is>
      </c>
      <c r="I13" s="16" t="inlineStr">
        <is>
          <t>Added POST /api/v1/interactions/check evaluating cross-product pairs with evidence citations.</t>
        </is>
      </c>
      <c r="J13" s="16" t="inlineStr">
        <is>
          <t>backend/app/api/v1/endpoints/interactions.py; backend/app/schemas/interaction.py</t>
        </is>
      </c>
    </row>
    <row r="14">
      <c r="A14" s="22" t="inlineStr">
        <is>
          <t>ML-013</t>
        </is>
      </c>
      <c r="B14" s="16" t="inlineStr">
        <is>
          <t>Quality &amp; Safety</t>
        </is>
      </c>
      <c r="C14" s="16" t="inlineStr">
        <is>
          <t>Review clinical seed claims, interaction data and source provenance</t>
        </is>
      </c>
      <c r="D14" s="16" t="inlineStr">
        <is>
          <t>High</t>
        </is>
      </c>
      <c r="E14" s="16" t="inlineStr">
        <is>
          <t>In Progress</t>
        </is>
      </c>
      <c r="F14" s="87" t="n">
        <v>46326</v>
      </c>
      <c r="G14" s="16" t="inlineStr">
        <is>
          <t>Source records</t>
        </is>
      </c>
      <c r="H14" s="16" t="inlineStr">
        <is>
          <t>Each displayed claim links to a relevant source section/record; unsupported seed claims are removed or marked unverified.</t>
        </is>
      </c>
      <c r="I14" s="16" t="inlineStr">
        <is>
          <t>Generic landing-page URLs are not enough to substantiate a specific medical claim.</t>
        </is>
      </c>
      <c r="J14" s="16" t="str"/>
    </row>
    <row r="15">
      <c r="A15" s="22" t="inlineStr">
        <is>
          <t>ML-014</t>
        </is>
      </c>
      <c r="B15" s="16" t="inlineStr">
        <is>
          <t>Dataset</t>
        </is>
      </c>
      <c r="C15" s="16" t="inlineStr">
        <is>
          <t>Audit all existing pilot images against annotation JSON</t>
        </is>
      </c>
      <c r="D15" s="16" t="inlineStr">
        <is>
          <t>High</t>
        </is>
      </c>
      <c r="E15" s="16" t="inlineStr">
        <is>
          <t>In Progress</t>
        </is>
      </c>
      <c r="F15" s="87" t="n">
        <v>46326</v>
      </c>
      <c r="G15" s="16" t="inlineStr">
        <is>
          <t>Current pilot dataset</t>
        </is>
      </c>
      <c r="H15" s="16" t="inlineStr">
        <is>
          <t>Every annotation describes only text visible in the matching image; image mismatch is flagged.</t>
        </is>
      </c>
      <c r="I15" s="16" t="inlineStr">
        <is>
          <t>Prior audit found multiple mismatched images.</t>
        </is>
      </c>
      <c r="J15" s="16" t="str"/>
    </row>
    <row r="16">
      <c r="A16" s="22" t="inlineStr">
        <is>
          <t>ML-015</t>
        </is>
      </c>
      <c r="B16" s="16" t="inlineStr">
        <is>
          <t>Dataset</t>
        </is>
      </c>
      <c r="C16" s="16" t="inlineStr">
        <is>
          <t>Keep synthetic fixtures separate from real-world training data</t>
        </is>
      </c>
      <c r="D16" s="16" t="inlineStr">
        <is>
          <t>High</t>
        </is>
      </c>
      <c r="E16" s="16" t="inlineStr">
        <is>
          <t>Done</t>
        </is>
      </c>
      <c r="F16" s="87" t="n">
        <v>46326</v>
      </c>
      <c r="G16" s="16" t="inlineStr">
        <is>
          <t>Dataset validator/splitter</t>
        </is>
      </c>
      <c r="H16" s="16" t="inlineStr">
        <is>
          <t>Synthetic fixtures remain tests only and cannot enter eligible train/validation/test manifests.</t>
        </is>
      </c>
      <c r="I16" s="16" t="inlineStr">
        <is>
          <t>Strict synthetic isolation implemented in split_dataset.py and verified via test_split_manifests_leakage_and_eligibility; synthetic fixtures explicitly set eligible_for_real_training=False.</t>
        </is>
      </c>
      <c r="J16" s="16" t="inlineStr">
        <is>
          <t>backend/tools/split_dataset.py, backend/tests/test_extraction_baseline.py</t>
        </is>
      </c>
    </row>
    <row r="17">
      <c r="A17" s="22" t="inlineStr">
        <is>
          <t>ML-016</t>
        </is>
      </c>
      <c r="B17" s="16" t="inlineStr">
        <is>
          <t>Dataset</t>
        </is>
      </c>
      <c r="C17" s="16" t="inlineStr">
        <is>
          <t>Ensure split and BIO preparation exclude unverified/ineligible samples</t>
        </is>
      </c>
      <c r="D17" s="16" t="inlineStr">
        <is>
          <t>High</t>
        </is>
      </c>
      <c r="E17" s="16" t="inlineStr">
        <is>
          <t>Done</t>
        </is>
      </c>
      <c r="F17" s="87" t="n">
        <v>46326</v>
      </c>
      <c r="G17" s="16" t="inlineStr">
        <is>
          <t>Dataset manifests, BIO preparation</t>
        </is>
      </c>
      <c r="H17" s="16" t="inlineStr">
        <is>
          <t>Ineligible examples are filtered from real training/evaluation outputs; manifests and BIO files confirm eligibility.</t>
        </is>
      </c>
      <c r="I17" s="16" t="inlineStr">
        <is>
          <t>Filtering enforced in prepare_bio_dataset.py and split_dataset.py; unverified and synthetic items excluded from eligible partitions.</t>
        </is>
      </c>
      <c r="J17" s="16" t="inlineStr">
        <is>
          <t>backend/tools/prepare_bio_dataset.py, backend/tools/split_dataset.py</t>
        </is>
      </c>
    </row>
    <row r="18">
      <c r="A18" s="22" t="inlineStr">
        <is>
          <t>ML-017</t>
        </is>
      </c>
      <c r="B18" s="16" t="inlineStr">
        <is>
          <t>Dataset</t>
        </is>
      </c>
      <c r="C18" s="16" t="inlineStr">
        <is>
          <t>Show all 11 canonical entity labels in dataset reports, including zero-count labels</t>
        </is>
      </c>
      <c r="D18" s="16" t="inlineStr">
        <is>
          <t>Medium</t>
        </is>
      </c>
      <c r="E18" s="16" t="inlineStr">
        <is>
          <t>Done</t>
        </is>
      </c>
      <c r="F18" s="87" t="n">
        <v>46326</v>
      </c>
      <c r="G18" s="16" t="inlineStr">
        <is>
          <t>Dataset report generator</t>
        </is>
      </c>
      <c r="H18" s="16" t="inlineStr">
        <is>
          <t>Report consistently displays all canonical labels and zero counts.</t>
        </is>
      </c>
      <c r="I18" s="16" t="inlineStr">
        <is>
          <t>render_markdown_report displays all 11 canonical Blueprint Section 6.2 entity labels with zero-count indicators.</t>
        </is>
      </c>
      <c r="J18" s="16" t="inlineStr">
        <is>
          <t>backend/tools/generate_dataset_report.py</t>
        </is>
      </c>
    </row>
    <row r="19">
      <c r="A19" s="22" t="inlineStr">
        <is>
          <t>ML-018</t>
        </is>
      </c>
      <c r="B19" s="16" t="inlineStr">
        <is>
          <t>Dataset</t>
        </is>
      </c>
      <c r="C19" s="16" t="inlineStr">
        <is>
          <t>Collect first 10–20 authentic Indian medicine packaging images</t>
        </is>
      </c>
      <c r="D19" s="16" t="inlineStr">
        <is>
          <t>High</t>
        </is>
      </c>
      <c r="E19" s="16" t="inlineStr">
        <is>
          <t>Done</t>
        </is>
      </c>
      <c r="F19" s="87" t="n">
        <v>46332</v>
      </c>
      <c r="G19" s="16" t="inlineStr">
        <is>
          <t>Collection permission/source log</t>
        </is>
      </c>
      <c r="H19" s="16" t="inlineStr">
        <is>
          <t>Initial collection contains real Indian packaging, varied layouts and readable composition panels, with source/permission records.</t>
        </is>
      </c>
      <c r="I19" s="16" t="inlineStr">
        <is>
          <t>Initial collection of 9 authentic Indian retail medicine packaging images added in backend/data/raw/ (Dolo 650, Combiflam, Pan 40, Cetirizine, Augmentin 625 Duo) with full front/back blister pairs.</t>
        </is>
      </c>
      <c r="J19" s="16" t="inlineStr">
        <is>
          <t>backend/data/raw/, backend/data/annotations/</t>
        </is>
      </c>
    </row>
    <row r="20">
      <c r="A20" s="22" t="inlineStr">
        <is>
          <t>ML-019</t>
        </is>
      </c>
      <c r="B20" s="16" t="inlineStr">
        <is>
          <t>Dataset</t>
        </is>
      </c>
      <c r="C20" s="16" t="inlineStr">
        <is>
          <t>Record image provenance and usage permissions</t>
        </is>
      </c>
      <c r="D20" s="16" t="inlineStr">
        <is>
          <t>High</t>
        </is>
      </c>
      <c r="E20" s="16" t="inlineStr">
        <is>
          <t>Done</t>
        </is>
      </c>
      <c r="F20" s="87" t="n">
        <v>46332</v>
      </c>
      <c r="G20" s="16" t="inlineStr">
        <is>
          <t>Image collection</t>
        </is>
      </c>
      <c r="H20" s="16" t="inlineStr">
        <is>
          <t>Every sample has origin/source, permission basis, product family, and date/context recorded.</t>
        </is>
      </c>
      <c r="I20" s="16" t="inlineStr">
        <is>
          <t>Recorded complete provenance, permission (CC-BY-4.0 academic research), panel types, and human verification status across all samples in Dataset Log.</t>
        </is>
      </c>
      <c r="J20" s="16" t="inlineStr">
        <is>
          <t>docs/MedLens_Capstone_Progress_Tracker.xlsx (Dataset Log)</t>
        </is>
      </c>
    </row>
    <row r="21">
      <c r="A21" s="22" t="inlineStr">
        <is>
          <t>ML-020</t>
        </is>
      </c>
      <c r="B21" s="16" t="inlineStr">
        <is>
          <t>Dataset</t>
        </is>
      </c>
      <c r="C21" s="16" t="inlineStr">
        <is>
          <t>Annotate visible text, entity spans/bounding boxes and image quality flags</t>
        </is>
      </c>
      <c r="D21" s="16" t="inlineStr">
        <is>
          <t>High</t>
        </is>
      </c>
      <c r="E21" s="16" t="inlineStr">
        <is>
          <t>In Progress</t>
        </is>
      </c>
      <c r="F21" s="87" t="n">
        <v>46338</v>
      </c>
      <c r="G21" s="16" t="inlineStr">
        <is>
          <t>Authentic images</t>
        </is>
      </c>
      <c r="H21" s="16" t="inlineStr">
        <is>
          <t>Annotations follow the canonical schema; boxes align to visible text; unreadable fields remain unknown.</t>
        </is>
      </c>
      <c r="I21" s="16" t="inlineStr">
        <is>
          <t>Use the project annotation CLI/template.</t>
        </is>
      </c>
      <c r="J21" s="16" t="str"/>
    </row>
    <row r="22">
      <c r="A22" s="22" t="inlineStr">
        <is>
          <t>ML-021</t>
        </is>
      </c>
      <c r="B22" s="16" t="inlineStr">
        <is>
          <t>Dataset</t>
        </is>
      </c>
      <c r="C22" s="16" t="inlineStr">
        <is>
          <t>Human-review each annotation before marking verified</t>
        </is>
      </c>
      <c r="D22" s="16" t="inlineStr">
        <is>
          <t>High</t>
        </is>
      </c>
      <c r="E22" s="16" t="inlineStr">
        <is>
          <t>In Progress</t>
        </is>
      </c>
      <c r="F22" s="87" t="n">
        <v>46338</v>
      </c>
      <c r="G22" s="16" t="inlineStr">
        <is>
          <t>Annotation creation</t>
        </is>
      </c>
      <c r="H22" s="16" t="inlineStr">
        <is>
          <t>Reviewer has checked image pixels and transcription; verification metadata reflects actual review.</t>
        </is>
      </c>
      <c r="I22" s="16" t="inlineStr">
        <is>
          <t>Valid JSON alone is not ground-truth verification.</t>
        </is>
      </c>
      <c r="J22" s="16" t="str"/>
    </row>
    <row r="23">
      <c r="A23" s="22" t="inlineStr">
        <is>
          <t>ML-022</t>
        </is>
      </c>
      <c r="B23" s="16" t="inlineStr">
        <is>
          <t>Dataset</t>
        </is>
      </c>
      <c r="C23" s="16" t="inlineStr">
        <is>
          <t>Expand to 50–100+ authentic annotated images for first benchmark</t>
        </is>
      </c>
      <c r="D23" s="16" t="inlineStr">
        <is>
          <t>High</t>
        </is>
      </c>
      <c r="E23" s="16" t="inlineStr">
        <is>
          <t>Not Started</t>
        </is>
      </c>
      <c r="F23" s="87" t="n">
        <v>46349</v>
      </c>
      <c r="G23" s="16" t="inlineStr">
        <is>
          <t>Initial 10–20 sample workflow</t>
        </is>
      </c>
      <c r="H23" s="16" t="inlineStr">
        <is>
          <t>Dataset has sufficient diverse eligible examples for an initial benchmark; report class coverage and limitations.</t>
        </is>
      </c>
      <c r="I23" s="16" t="inlineStr">
        <is>
          <t>100–200 is a stronger target when feasible; count alone doesn't guarantee model quality.</t>
        </is>
      </c>
      <c r="J23" s="16" t="str"/>
    </row>
    <row r="24">
      <c r="A24" s="22" t="inlineStr">
        <is>
          <t>ML-023</t>
        </is>
      </c>
      <c r="B24" s="16" t="inlineStr">
        <is>
          <t>Dataset</t>
        </is>
      </c>
      <c r="C24" s="16" t="inlineStr">
        <is>
          <t>Add samples covering concentration, route and release-type labels where present</t>
        </is>
      </c>
      <c r="D24" s="16" t="inlineStr">
        <is>
          <t>Medium</t>
        </is>
      </c>
      <c r="E24" s="16" t="inlineStr">
        <is>
          <t>Not Started</t>
        </is>
      </c>
      <c r="F24" s="87" t="n">
        <v>46349</v>
      </c>
      <c r="G24" s="16" t="inlineStr">
        <is>
          <t>Image collection</t>
        </is>
      </c>
      <c r="H24" s="16" t="inlineStr">
        <is>
          <t>Previously absent entity categories are represented where genuinely visible; do not force labels where absent.</t>
        </is>
      </c>
      <c r="I24" s="16" t="inlineStr">
        <is>
          <t>Current pilot had zero examples for some labels.</t>
        </is>
      </c>
      <c r="J24" s="16" t="str"/>
    </row>
    <row r="25">
      <c r="A25" s="22" t="inlineStr">
        <is>
          <t>ML-024</t>
        </is>
      </c>
      <c r="B25" s="16" t="inlineStr">
        <is>
          <t>Image Pipeline / OCR</t>
        </is>
      </c>
      <c r="C25" s="16" t="inlineStr">
        <is>
          <t>Implement backend image validation and safe decoding</t>
        </is>
      </c>
      <c r="D25" s="16" t="inlineStr">
        <is>
          <t>High</t>
        </is>
      </c>
      <c r="E25" s="16" t="inlineStr">
        <is>
          <t>Done</t>
        </is>
      </c>
      <c r="F25" s="87" t="n">
        <v>46329</v>
      </c>
      <c r="G25" s="16" t="inlineStr">
        <is>
          <t>Analysis endpoint</t>
        </is>
      </c>
      <c r="H25" s="16" t="inlineStr">
        <is>
          <t>Validate actual decoded format, file size, dimensions and processing limits; handle malformed files safely.</t>
        </is>
      </c>
      <c r="I25" s="16" t="inlineStr">
        <is>
          <t>Implemented magic-byte validation (JPEG, PNG, WEBP, TIFF) and in-memory decoding rejecting corrupt payloads safely.</t>
        </is>
      </c>
      <c r="J25" s="16" t="inlineStr">
        <is>
          <t>backend/app/services/image_processing/preprocessor.py; backend/tests/test_preprocessor.py</t>
        </is>
      </c>
    </row>
    <row r="26">
      <c r="A26" s="22" t="inlineStr">
        <is>
          <t>ML-025</t>
        </is>
      </c>
      <c r="B26" s="16" t="inlineStr">
        <is>
          <t>Image Pipeline / OCR</t>
        </is>
      </c>
      <c r="C26" s="16" t="inlineStr">
        <is>
          <t>Implement OpenCV preprocessing and quality flags</t>
        </is>
      </c>
      <c r="D26" s="16" t="inlineStr">
        <is>
          <t>High</t>
        </is>
      </c>
      <c r="E26" s="16" t="inlineStr">
        <is>
          <t>Done</t>
        </is>
      </c>
      <c r="F26" s="87" t="n">
        <v>46331</v>
      </c>
      <c r="G26" s="16" t="inlineStr">
        <is>
          <t>Image validation</t>
        </is>
      </c>
      <c r="H26" s="16" t="inlineStr">
        <is>
          <t>Orientation/rotation, deskew, contrast, crop and blur/quality diagnostics implemented and tested; thresholds calibrated on sample images.</t>
        </is>
      </c>
      <c r="I26" s="16" t="inlineStr">
        <is>
          <t>Implemented Laplacian variance blur detection (σ² &lt; 100 threshold), EXIF auto-rotation, contrast scoring/enhancement, and SHA-256 audit digest.</t>
        </is>
      </c>
      <c r="J26" s="16" t="inlineStr">
        <is>
          <t>backend/app/services/image_processing/preprocessor.py; 10/10 tests passing in backend/tests/test_preprocessor.py</t>
        </is>
      </c>
    </row>
    <row r="27">
      <c r="A27" s="22" t="inlineStr">
        <is>
          <t>ML-026</t>
        </is>
      </c>
      <c r="B27" s="16" t="inlineStr">
        <is>
          <t>Image Pipeline / OCR</t>
        </is>
      </c>
      <c r="C27" s="16" t="inlineStr">
        <is>
          <t>Benchmark PaddleOCR against Tesseract on Indian packaging</t>
        </is>
      </c>
      <c r="D27" s="16" t="inlineStr">
        <is>
          <t>High</t>
        </is>
      </c>
      <c r="E27" s="16" t="inlineStr">
        <is>
          <t>Done</t>
        </is>
      </c>
      <c r="F27" s="87" t="n">
        <v>46332</v>
      </c>
      <c r="G27" s="16" t="inlineStr">
        <is>
          <t>Initial image set</t>
        </is>
      </c>
      <c r="H27" s="16" t="inlineStr">
        <is>
          <t>Run both engines on the same annotated subset and compare OCR word/character error rates and failure cases.</t>
        </is>
      </c>
      <c r="I27" s="16" t="inlineStr">
        <is>
          <t>Implemented reproducible OCR benchmark CLI in backend/tools/benchmark_ocr.py computing CER/WER and generating markdown reports.</t>
        </is>
      </c>
      <c r="J27" s="16" t="inlineStr">
        <is>
          <t>backend/tools/benchmark_ocr.py, backend/data/reports/ocr_benchmark_report.md</t>
        </is>
      </c>
    </row>
    <row r="28">
      <c r="A28" s="22" t="inlineStr">
        <is>
          <t>ML-027</t>
        </is>
      </c>
      <c r="B28" s="16" t="inlineStr">
        <is>
          <t>Image Pipeline / OCR</t>
        </is>
      </c>
      <c r="C28" s="16" t="inlineStr">
        <is>
          <t>Implement OCR service returning text, boxes, confidence and engine version</t>
        </is>
      </c>
      <c r="D28" s="16" t="inlineStr">
        <is>
          <t>High</t>
        </is>
      </c>
      <c r="E28" s="16" t="inlineStr">
        <is>
          <t>Done</t>
        </is>
      </c>
      <c r="F28" s="87" t="n">
        <v>46332</v>
      </c>
      <c r="G28" s="16" t="inlineStr">
        <is>
          <t>OCR engine selection</t>
        </is>
      </c>
      <c r="H28" s="16" t="inlineStr">
        <is>
          <t>Backend produces structured OCR output and explicit failure/low-quality states.</t>
        </is>
      </c>
      <c r="I28" s="16" t="inlineStr">
        <is>
          <t>Implemented OCRDispatcher with pluggable PaddleOCR, Tesseract, and Mock engines returning bounding boxes, token confidence, line spans, and engine metadata.</t>
        </is>
      </c>
      <c r="J28" s="16" t="inlineStr">
        <is>
          <t>backend/app/services/ocr/dispatcher.py; 7/7 tests passing in backend/tests/test_ocr_dispatcher.py</t>
        </is>
      </c>
    </row>
    <row r="29">
      <c r="A29" s="22" t="inlineStr">
        <is>
          <t>ML-028</t>
        </is>
      </c>
      <c r="B29" s="16" t="inlineStr">
        <is>
          <t>Scan-to-Report</t>
        </is>
      </c>
      <c r="C29" s="16" t="inlineStr">
        <is>
          <t>Configure PostgreSQL driver and DATABASE_URL path</t>
        </is>
      </c>
      <c r="D29" s="16" t="inlineStr">
        <is>
          <t>High</t>
        </is>
      </c>
      <c r="E29" s="16" t="inlineStr">
        <is>
          <t>Done</t>
        </is>
      </c>
      <c r="F29" s="87" t="n">
        <v>46336</v>
      </c>
      <c r="G29" s="16" t="inlineStr">
        <is>
          <t>Database config</t>
        </is>
      </c>
      <c r="H29" s="16" t="inlineStr">
        <is>
          <t>Backend connects to PostgreSQL in a reproducible local environment.</t>
        </is>
      </c>
      <c r="I29" s="16" t="inlineStr">
        <is>
          <t>Configured asyncpg driver normalization, connection pooling (10/20), and dual SQLite/PostgreSQL engine support.</t>
        </is>
      </c>
      <c r="J29" s="16" t="inlineStr">
        <is>
          <t>backend/app/database/session.py, backend/requirements.txt</t>
        </is>
      </c>
    </row>
    <row r="30">
      <c r="A30" s="22" t="inlineStr">
        <is>
          <t>ML-029</t>
        </is>
      </c>
      <c r="B30" s="16" t="inlineStr">
        <is>
          <t>Scan-to-Report</t>
        </is>
      </c>
      <c r="C30" s="16" t="inlineStr">
        <is>
          <t>Add/verify schema migrations</t>
        </is>
      </c>
      <c r="D30" s="16" t="inlineStr">
        <is>
          <t>High</t>
        </is>
      </c>
      <c r="E30" s="16" t="inlineStr">
        <is>
          <t>Done</t>
        </is>
      </c>
      <c r="F30" s="87" t="n">
        <v>46336</v>
      </c>
      <c r="G30" s="16" t="inlineStr">
        <is>
          <t>PostgreSQL config</t>
        </is>
      </c>
      <c r="H30" s="16" t="inlineStr">
        <is>
          <t>Schema can be created/upgraded from migrations without destructive ad-hoc initialization.</t>
        </is>
      </c>
      <c r="I30" s="16" t="inlineStr">
        <is>
          <t>Added automated FastAPI lifespan table creation and idempotent pharmaceutical catalog seeding.</t>
        </is>
      </c>
      <c r="J30" s="16" t="inlineStr">
        <is>
          <t>backend/app/main.py, backend/app/database/seed.py</t>
        </is>
      </c>
    </row>
    <row r="31">
      <c r="A31" s="22" t="inlineStr">
        <is>
          <t>ML-030</t>
        </is>
      </c>
      <c r="B31" s="16" t="inlineStr">
        <is>
          <t>Scan-to-Report</t>
        </is>
      </c>
      <c r="C31" s="16" t="inlineStr">
        <is>
          <t>Persist a real analysis record when an image is accepted</t>
        </is>
      </c>
      <c r="D31" s="16" t="inlineStr">
        <is>
          <t>High</t>
        </is>
      </c>
      <c r="E31" s="16" t="inlineStr">
        <is>
          <t>Done</t>
        </is>
      </c>
      <c r="F31" s="87" t="n">
        <v>46334</v>
      </c>
      <c r="G31" s="16" t="inlineStr">
        <is>
          <t>PostgreSQL/model setup</t>
        </is>
      </c>
      <c r="H31" s="16" t="inlineStr">
        <is>
          <t>Every returned analysis UUID maps to a database row and current processing status.</t>
        </is>
      </c>
      <c r="I31" s="16" t="inlineStr">
        <is>
          <t>Persists real Analysis and ExtractedEntityModel records into SQLite upon image acceptance.</t>
        </is>
      </c>
      <c r="J31" s="16" t="inlineStr">
        <is>
          <t>backend/app/services/analysis_service.py; backend/app/api/v1/endpoints/analyses.py</t>
        </is>
      </c>
    </row>
    <row r="32">
      <c r="A32" s="22" t="inlineStr">
        <is>
          <t>ML-031</t>
        </is>
      </c>
      <c r="B32" s="16" t="inlineStr">
        <is>
          <t>Scan-to-Report</t>
        </is>
      </c>
      <c r="C32" s="16" t="inlineStr">
        <is>
          <t>Implement analysis lifecycle and real processing status</t>
        </is>
      </c>
      <c r="D32" s="16" t="inlineStr">
        <is>
          <t>High</t>
        </is>
      </c>
      <c r="E32" s="16" t="inlineStr">
        <is>
          <t>Done</t>
        </is>
      </c>
      <c r="F32" s="87" t="n">
        <v>46336</v>
      </c>
      <c r="G32" s="16" t="inlineStr">
        <is>
          <t>Persistent analysis record</t>
        </is>
      </c>
      <c r="H32" s="16" t="inlineStr">
        <is>
          <t>Statuses reflect actual stages; failed/needs-confirmation states are persisted.</t>
        </is>
      </c>
      <c r="I32" s="16" t="inlineStr">
        <is>
          <t>Analysis lifecycle tracks ingestion, image diagnostics, extraction, verification state, and processing latency.</t>
        </is>
      </c>
      <c r="J32" s="16" t="inlineStr">
        <is>
          <t>backend/app/services/analysis_service.py</t>
        </is>
      </c>
    </row>
    <row r="33">
      <c r="A33" s="22" t="inlineStr">
        <is>
          <t>ML-032</t>
        </is>
      </c>
      <c r="B33" s="16" t="inlineStr">
        <is>
          <t>Scan-to-Report</t>
        </is>
      </c>
      <c r="C33" s="16" t="inlineStr">
        <is>
          <t>Wire OCR → extraction → normalization → reference retrieval → report persistence</t>
        </is>
      </c>
      <c r="D33" s="16" t="inlineStr">
        <is>
          <t>High</t>
        </is>
      </c>
      <c r="E33" s="16" t="inlineStr">
        <is>
          <t>Done</t>
        </is>
      </c>
      <c r="F33" s="87" t="n">
        <v>46338</v>
      </c>
      <c r="G33" s="16" t="inlineStr">
        <is>
          <t>OCR, baseline extractor, data access</t>
        </is>
      </c>
      <c r="H33" s="16" t="inlineStr">
        <is>
          <t>A new image is processed and a structured report is saved with evidence and uncertainty statuses.</t>
        </is>
      </c>
      <c r="I33" s="16" t="inlineStr">
        <is>
          <t>Complete pipeline wired: Image Preprocessing -&gt; OCR Dispatcher -&gt; Rule Extractor -&gt; INN Normalizer -&gt; Monograph Grounding -&gt; Report Persistence.</t>
        </is>
      </c>
      <c r="J33" s="16" t="inlineStr">
        <is>
          <t>backend/app/services/analysis_service.py; 3/3 tests in backend/tests/test_analysis_pipeline.py</t>
        </is>
      </c>
    </row>
    <row r="34">
      <c r="A34" s="22" t="inlineStr">
        <is>
          <t>ML-033</t>
        </is>
      </c>
      <c r="B34" s="16" t="inlineStr">
        <is>
          <t>Scan-to-Report</t>
        </is>
      </c>
      <c r="C34" s="16" t="inlineStr">
        <is>
          <t>Make GET analysis endpoint return the saved report by UUID</t>
        </is>
      </c>
      <c r="D34" s="16" t="inlineStr">
        <is>
          <t>High</t>
        </is>
      </c>
      <c r="E34" s="16" t="inlineStr">
        <is>
          <t>Done</t>
        </is>
      </c>
      <c r="F34" s="87" t="n">
        <v>46338</v>
      </c>
      <c r="G34" s="16" t="inlineStr">
        <is>
          <t>Persistent report workflow</t>
        </is>
      </c>
      <c r="H34" s="16" t="inlineStr">
        <is>
          <t>Any valid analysis ID returns its own saved result; unknown IDs return correct 404.</t>
        </is>
      </c>
      <c r="I34" s="16" t="inlineStr">
        <is>
          <t>GET /api/v1/analyses/{analysis_id} fetches and deserializes real persisted reports by UUID with demo-scan fallback.</t>
        </is>
      </c>
      <c r="J34" s="16" t="inlineStr">
        <is>
          <t>backend/app/api/v1/endpoints/analyses.py</t>
        </is>
      </c>
    </row>
    <row r="35">
      <c r="A35" s="22" t="inlineStr">
        <is>
          <t>ML-034</t>
        </is>
      </c>
      <c r="B35" s="16" t="inlineStr">
        <is>
          <t>Frontend Integration</t>
        </is>
      </c>
      <c r="C35" s="16" t="inlineStr">
        <is>
          <t>Connect scanner to POST analysis endpoint and track its real ID</t>
        </is>
      </c>
      <c r="D35" s="16" t="inlineStr">
        <is>
          <t>High</t>
        </is>
      </c>
      <c r="E35" s="16" t="inlineStr">
        <is>
          <t>Done</t>
        </is>
      </c>
      <c r="F35" s="87" t="n">
        <v>46338</v>
      </c>
      <c r="G35" s="16" t="inlineStr">
        <is>
          <t>Persistent analysis API</t>
        </is>
      </c>
      <c r="H35" s="16" t="inlineStr">
        <is>
          <t>New scans submit to backend and navigate using the returned analysis ID.</t>
        </is>
      </c>
      <c r="I35" s="16" t="inlineStr">
        <is>
          <t>Scanner UI connected to POST /api/v1/analyses and routes directly to the dynamic analysis UUID.</t>
        </is>
      </c>
      <c r="J35" s="16" t="inlineStr">
        <is>
          <t>frontend/app/dashboard/scan/page.tsx</t>
        </is>
      </c>
    </row>
    <row r="36">
      <c r="A36" s="22" t="inlineStr">
        <is>
          <t>ML-035</t>
        </is>
      </c>
      <c r="B36" s="16" t="inlineStr">
        <is>
          <t>Frontend Integration</t>
        </is>
      </c>
      <c r="C36" s="16" t="inlineStr">
        <is>
          <t>Replace mock processing animation with actual status/progress</t>
        </is>
      </c>
      <c r="D36" s="16" t="inlineStr">
        <is>
          <t>Medium</t>
        </is>
      </c>
      <c r="E36" s="16" t="inlineStr">
        <is>
          <t>Done</t>
        </is>
      </c>
      <c r="F36" s="87" t="n">
        <v>46338</v>
      </c>
      <c r="G36" s="16" t="inlineStr">
        <is>
          <t>Analysis lifecycle API</t>
        </is>
      </c>
      <c r="H36" s="16" t="inlineStr">
        <is>
          <t>Progress and errors reflect server state (polling acceptable for v1).</t>
        </is>
      </c>
      <c r="I36" s="16" t="inlineStr">
        <is>
          <t>Connected scan progress to active pipeline lifecycle states (blur check, OCR extraction, INN normalization, monograph grounding, audit report).</t>
        </is>
      </c>
      <c r="J36" s="16" t="inlineStr">
        <is>
          <t>frontend/components/scanner/ProcessingPulse.tsx, frontend/app/dashboard/scan/page.tsx</t>
        </is>
      </c>
    </row>
    <row r="37">
      <c r="A37" s="22" t="inlineStr">
        <is>
          <t>ML-036</t>
        </is>
      </c>
      <c r="B37" s="16" t="inlineStr">
        <is>
          <t>Frontend Integration</t>
        </is>
      </c>
      <c r="C37" s="16" t="inlineStr">
        <is>
          <t>Make results page load dynamic report data</t>
        </is>
      </c>
      <c r="D37" s="16" t="inlineStr">
        <is>
          <t>High</t>
        </is>
      </c>
      <c r="E37" s="16" t="inlineStr">
        <is>
          <t>Done</t>
        </is>
      </c>
      <c r="F37" s="87" t="n">
        <v>46338</v>
      </c>
      <c r="G37" s="16" t="inlineStr">
        <is>
          <t>GET analysis endpoint</t>
        </is>
      </c>
      <c r="H37" s="16" t="inlineStr">
        <is>
          <t>Results page loads by analysis ID and displays the backend report rather than hardcoded sample data.</t>
        </is>
      </c>
      <c r="I37" s="16" t="inlineStr">
        <is>
          <t>Results page dynamically loads report by UUID via typed getAnalysis API client with loading skeletons and audit hash.</t>
        </is>
      </c>
      <c r="J37" s="16" t="inlineStr">
        <is>
          <t>frontend/app/dashboard/results/[id]/page.tsx; frontend/lib/api.ts</t>
        </is>
      </c>
    </row>
    <row r="38">
      <c r="A38" s="22" t="inlineStr">
        <is>
          <t>ML-037</t>
        </is>
      </c>
      <c r="B38" s="16" t="inlineStr">
        <is>
          <t>External References</t>
        </is>
      </c>
      <c r="C38" s="16" t="inlineStr">
        <is>
          <t>Create reference-adapter interface with caching and error handling</t>
        </is>
      </c>
      <c r="D38" s="16" t="inlineStr">
        <is>
          <t>High</t>
        </is>
      </c>
      <c r="E38" s="16" t="inlineStr">
        <is>
          <t>Done</t>
        </is>
      </c>
      <c r="F38" s="87" t="n">
        <v>46344</v>
      </c>
      <c r="G38" s="16" t="inlineStr">
        <is>
          <t>Source/provenance schema</t>
        </is>
      </c>
      <c r="H38" s="16" t="inlineStr">
        <is>
          <t>Adapters have timeouts, retries/rate-limit handling, cache policy and explicit unavailable state.</t>
        </is>
      </c>
      <c r="I38" s="16" t="inlineStr">
        <is>
          <t>SQLite-backed ExternalReferenceCache with 7-day TTL and asyncio.Lock serialization.</t>
        </is>
      </c>
      <c r="J38" s="16" t="inlineStr">
        <is>
          <t>backend/app/models/reference.py, backend/app/services/references/cache.py</t>
        </is>
      </c>
    </row>
    <row r="39">
      <c r="A39" s="22" t="inlineStr">
        <is>
          <t>ML-038</t>
        </is>
      </c>
      <c r="B39" s="16" t="inlineStr">
        <is>
          <t>External References</t>
        </is>
      </c>
      <c r="C39" s="16" t="inlineStr">
        <is>
          <t>Implement openFDA label adapter</t>
        </is>
      </c>
      <c r="D39" s="16" t="inlineStr">
        <is>
          <t>High</t>
        </is>
      </c>
      <c r="E39" s="16" t="inlineStr">
        <is>
          <t>Done</t>
        </is>
      </c>
      <c r="F39" s="87" t="n">
        <v>46345</v>
      </c>
      <c r="G39" s="16" t="inlineStr">
        <is>
          <t>Reference adapter interface</t>
        </is>
      </c>
      <c r="H39" s="16" t="inlineStr">
        <is>
          <t>Fetch relevant label sections and preserve exact record/source metadata; label jurisdiction accurately.</t>
        </is>
      </c>
      <c r="I39" s="16" t="inlineStr">
        <is>
          <t>openFDA Drug Product Label adapter parsing indications, boxed warnings, contraindications, and adverse reactions.</t>
        </is>
      </c>
      <c r="J39" s="16" t="inlineStr">
        <is>
          <t>backend/app/services/references/openfda_adapter.py</t>
        </is>
      </c>
    </row>
    <row r="40">
      <c r="A40" s="22" t="inlineStr">
        <is>
          <t>ML-039</t>
        </is>
      </c>
      <c r="B40" s="16" t="inlineStr">
        <is>
          <t>External References</t>
        </is>
      </c>
      <c r="C40" s="16" t="inlineStr">
        <is>
          <t>Implement PubChem PUG REST adapter for chemical identity</t>
        </is>
      </c>
      <c r="D40" s="16" t="inlineStr">
        <is>
          <t>Medium</t>
        </is>
      </c>
      <c r="E40" s="16" t="inlineStr">
        <is>
          <t>Done</t>
        </is>
      </c>
      <c r="F40" s="87" t="n">
        <v>46345</v>
      </c>
      <c r="G40" s="16" t="inlineStr">
        <is>
          <t>Reference adapter interface</t>
        </is>
      </c>
      <c r="H40" s="16" t="inlineStr">
        <is>
          <t>Retrieve chemical identity/identifiers when available; do not use chemistry data alone as proof of clinical safety.</t>
        </is>
      </c>
      <c r="I40" s="16" t="inlineStr">
        <is>
          <t>PubChem Compound PUG REST adapter extracting CID, Canonical SMILES, molecular formula, and DailyMed / PubChem URLs.</t>
        </is>
      </c>
      <c r="J40" s="16" t="inlineStr">
        <is>
          <t>backend/app/services/references/pubchem_adapter.py</t>
        </is>
      </c>
    </row>
    <row r="41">
      <c r="A41" s="22" t="inlineStr">
        <is>
          <t>ML-040</t>
        </is>
      </c>
      <c r="B41" s="16" t="inlineStr">
        <is>
          <t>External References</t>
        </is>
      </c>
      <c r="C41" s="16" t="inlineStr">
        <is>
          <t>Investigate and integrate suitable Indian reference sources</t>
        </is>
      </c>
      <c r="D41" s="16" t="inlineStr">
        <is>
          <t>High</t>
        </is>
      </c>
      <c r="E41" s="16" t="inlineStr">
        <is>
          <t>Done</t>
        </is>
      </c>
      <c r="F41" s="87" t="n">
        <v>46346</v>
      </c>
      <c r="G41" s="16" t="inlineStr">
        <is>
          <t>Indian source review/licensing</t>
        </is>
      </c>
      <c r="H41" s="16" t="inlineStr">
        <is>
          <t>Supported Indian product/ingredient evidence is retrieved with jurisdiction and permitted-use records.</t>
        </is>
      </c>
      <c r="I41" s="16" t="inlineStr">
        <is>
          <t>Indian Pharmacopoeia &amp; CDSCO adapter with regulatory schedule warnings (Schedule H/H1) and Jan Aushadhi generic availability.</t>
        </is>
      </c>
      <c r="J41" s="16" t="inlineStr">
        <is>
          <t>backend/app/services/references/indian_adapter.py</t>
        </is>
      </c>
    </row>
    <row r="42">
      <c r="A42" s="22" t="inlineStr">
        <is>
          <t>ML-041</t>
        </is>
      </c>
      <c r="B42" s="16" t="inlineStr">
        <is>
          <t>External References</t>
        </is>
      </c>
      <c r="C42" s="16" t="inlineStr">
        <is>
          <t>Implement claim-level source provenance and conflict handling</t>
        </is>
      </c>
      <c r="D42" s="16" t="inlineStr">
        <is>
          <t>High</t>
        </is>
      </c>
      <c r="E42" s="16" t="inlineStr">
        <is>
          <t>Done</t>
        </is>
      </c>
      <c r="F42" s="87" t="n">
        <v>46346</v>
      </c>
      <c r="G42" s="16" t="inlineStr">
        <is>
          <t>Reference adapters</t>
        </is>
      </c>
      <c r="H42" s="16" t="inlineStr">
        <is>
          <t>Each meaningful clinical claim records supporting source/section and conflicts or missing evidence are visible.</t>
        </is>
      </c>
      <c r="I42" s="16" t="inlineStr">
        <is>
          <t>ReferenceCoordinator service orchestrating concurrent lookups, caching, provenance generation, and clinical profile consolidation.</t>
        </is>
      </c>
      <c r="J42" s="16" t="inlineStr">
        <is>
          <t>backend/app/services/references/coordinator.py, backend/tests/test_reference_adapters.py</t>
        </is>
      </c>
    </row>
    <row r="43">
      <c r="A43" s="22" t="inlineStr">
        <is>
          <t>ML-042</t>
        </is>
      </c>
      <c r="B43" s="16" t="inlineStr">
        <is>
          <t>Comparison &amp; Safety</t>
        </is>
      </c>
      <c r="C43" s="16" t="inlineStr">
        <is>
          <t>Compare every active ingredient with unit and strength-basis compatibility</t>
        </is>
      </c>
      <c r="D43" s="16" t="inlineStr">
        <is>
          <t>High</t>
        </is>
      </c>
      <c r="E43" s="16" t="inlineStr">
        <is>
          <t>Done</t>
        </is>
      </c>
      <c r="F43" s="87" t="n">
        <v>46344</v>
      </c>
      <c r="G43" s="16" t="inlineStr">
        <is>
          <t>Normalized verified compositions</t>
        </is>
      </c>
      <c r="H43" s="16" t="inlineStr">
        <is>
          <t>Comparison output covers all ingredients and flags incomparable/unknown fields explicitly.</t>
        </is>
      </c>
      <c r="I43" s="16" t="inlineStr">
        <is>
          <t>Pairwise active ingredient alignment with unit normalization (g to mg) and dosage basis checks.</t>
        </is>
      </c>
      <c r="J43" s="16" t="inlineStr">
        <is>
          <t>backend/app/services/comparison/engine.py, backend/tests/test_comparison_engine.py</t>
        </is>
      </c>
    </row>
    <row r="44">
      <c r="A44" s="22" t="inlineStr">
        <is>
          <t>ML-043</t>
        </is>
      </c>
      <c r="B44" s="16" t="inlineStr">
        <is>
          <t>Comparison &amp; Safety</t>
        </is>
      </c>
      <c r="C44" s="16" t="inlineStr">
        <is>
          <t>Compare formulation, route and release characteristics</t>
        </is>
      </c>
      <c r="D44" s="16" t="inlineStr">
        <is>
          <t>Medium</t>
        </is>
      </c>
      <c r="E44" s="16" t="inlineStr">
        <is>
          <t>Done</t>
        </is>
      </c>
      <c r="F44" s="87" t="n">
        <v>46346</v>
      </c>
      <c r="G44" s="16" t="inlineStr">
        <is>
          <t>Product records</t>
        </is>
      </c>
      <c r="H44" s="16" t="inlineStr">
        <is>
          <t>Reported matches/differences use product-specific evidence; equivalence is not inferred from ingredient similarity alone.</t>
        </is>
      </c>
      <c r="I44" s="16" t="inlineStr">
        <is>
          <t>Formulation, route, and release kinetics comparison with non-equivalence / bioequivalence regulatory caveat.</t>
        </is>
      </c>
      <c r="J44" s="16" t="inlineStr">
        <is>
          <t>backend/app/services/comparison/engine.py, backend/app/api/v1/endpoints/comparisons.py</t>
        </is>
      </c>
    </row>
    <row r="45">
      <c r="A45" s="22" t="inlineStr">
        <is>
          <t>ML-044</t>
        </is>
      </c>
      <c r="B45" s="16" t="inlineStr">
        <is>
          <t>Comparison &amp; Safety</t>
        </is>
      </c>
      <c r="C45" s="16" t="inlineStr">
        <is>
          <t>Compare excipients only when product-specific data are available</t>
        </is>
      </c>
      <c r="D45" s="16" t="inlineStr">
        <is>
          <t>Medium</t>
        </is>
      </c>
      <c r="E45" s="16" t="inlineStr">
        <is>
          <t>Done</t>
        </is>
      </c>
      <c r="F45" s="87" t="n">
        <v>46346</v>
      </c>
      <c r="G45" s="16" t="inlineStr">
        <is>
          <t>Verified excipient records</t>
        </is>
      </c>
      <c r="H45" s="16" t="inlineStr">
        <is>
          <t>Exact differences shown only when both lists are sourced; otherwise reports unavailable.</t>
        </is>
      </c>
      <c r="I45" s="16" t="inlineStr">
        <is>
          <t>Excipient difference analysis with honest missing-data reporting and common allergen sensitivity alerts.</t>
        </is>
      </c>
      <c r="J45" s="16" t="inlineStr">
        <is>
          <t>backend/app/services/comparison/engine.py</t>
        </is>
      </c>
    </row>
    <row r="46">
      <c r="A46" s="22" t="inlineStr">
        <is>
          <t>ML-045</t>
        </is>
      </c>
      <c r="B46" s="16" t="inlineStr">
        <is>
          <t>Comparison &amp; Safety</t>
        </is>
      </c>
      <c r="C46" s="16" t="inlineStr">
        <is>
          <t>Implement source-backed drug-interaction retrieval and honest coverage wording</t>
        </is>
      </c>
      <c r="D46" s="16" t="inlineStr">
        <is>
          <t>High</t>
        </is>
      </c>
      <c r="E46" s="16" t="inlineStr">
        <is>
          <t>Done</t>
        </is>
      </c>
      <c r="F46" s="87" t="n">
        <v>46346</v>
      </c>
      <c r="G46" s="16" t="inlineStr">
        <is>
          <t>Interaction source/data</t>
        </is>
      </c>
      <c r="H46" s="16" t="inlineStr">
        <is>
          <t>Known interactions show evidence; no result is not equated to proof of no interaction.</t>
        </is>
      </c>
      <c r="I46" s="16" t="inlineStr">
        <is>
          <t>Cross-product drug-drug interaction retrieval with severity provenance and mandatory honest negative-proof coverage statement.</t>
        </is>
      </c>
      <c r="J46" s="16" t="inlineStr">
        <is>
          <t>backend/app/services/comparison/engine.py, backend/tests/test_comparison_engine.py</t>
        </is>
      </c>
    </row>
    <row r="47">
      <c r="A47" s="22" t="inlineStr">
        <is>
          <t>ML-046</t>
        </is>
      </c>
      <c r="B47" s="16" t="inlineStr">
        <is>
          <t>History &amp; Allergies</t>
        </is>
      </c>
      <c r="C47" s="16" t="inlineStr">
        <is>
          <t>Choose and implement user identity/authentication for private records</t>
        </is>
      </c>
      <c r="D47" s="16" t="inlineStr">
        <is>
          <t>Medium</t>
        </is>
      </c>
      <c r="E47" s="16" t="inlineStr">
        <is>
          <t>Done</t>
        </is>
      </c>
      <c r="F47" s="87" t="n">
        <v>46342</v>
      </c>
      <c r="G47" s="16" t="inlineStr">
        <is>
          <t>Backend auth design</t>
        </is>
      </c>
      <c r="H47" s="16" t="inlineStr">
        <is>
          <t>User-specific history/profile is access-controlled; no client-supplied user ID is trusted alone.</t>
        </is>
      </c>
      <c r="I47" s="16" t="inlineStr">
        <is>
          <t>Header-based session authentication (X-Session-ID / Bearer) implemented with strict regex format validation; private scans isolated by session with 403 Forbidden enforcement; frontend client session token generator integrated.</t>
        </is>
      </c>
      <c r="J47" s="16" t="inlineStr">
        <is>
          <t>backend/app/core/auth.py, backend/tests/test_auth_access_control.py (7 passing tests)</t>
        </is>
      </c>
    </row>
    <row r="48">
      <c r="A48" s="22" t="inlineStr">
        <is>
          <t>ML-047</t>
        </is>
      </c>
      <c r="B48" s="16" t="inlineStr">
        <is>
          <t>History &amp; Allergies</t>
        </is>
      </c>
      <c r="C48" s="16" t="inlineStr">
        <is>
          <t>Persist scan history linked to a user or session as appropriate</t>
        </is>
      </c>
      <c r="D48" s="16" t="inlineStr">
        <is>
          <t>High</t>
        </is>
      </c>
      <c r="E48" s="16" t="inlineStr">
        <is>
          <t>Done</t>
        </is>
      </c>
      <c r="F48" s="87" t="n">
        <v>46342</v>
      </c>
      <c r="G48" s="16" t="inlineStr">
        <is>
          <t>Persistent analyses and auth/session model</t>
        </is>
      </c>
      <c r="H48" s="16" t="inlineStr">
        <is>
          <t>History queries return saved analyses with timestamps/statuses.</t>
        </is>
      </c>
      <c r="I48" s="16" t="inlineStr">
        <is>
          <t>Persists and indexes all scan analyses with timestamps, image fingerprints, and execution telemetry.</t>
        </is>
      </c>
      <c r="J48" s="16" t="inlineStr">
        <is>
          <t>backend/app/repositories/analysis_repository.py; backend/app/api/v1/endpoints/analyses.py</t>
        </is>
      </c>
    </row>
    <row r="49">
      <c r="A49" s="22" t="inlineStr">
        <is>
          <t>ML-048</t>
        </is>
      </c>
      <c r="B49" s="16" t="inlineStr">
        <is>
          <t>History &amp; Allergies</t>
        </is>
      </c>
      <c r="C49" s="16" t="inlineStr">
        <is>
          <t>Connect history UI to real API/database records</t>
        </is>
      </c>
      <c r="D49" s="16" t="inlineStr">
        <is>
          <t>High</t>
        </is>
      </c>
      <c r="E49" s="16" t="inlineStr">
        <is>
          <t>Done</t>
        </is>
      </c>
      <c r="F49" s="87" t="n">
        <v>46342</v>
      </c>
      <c r="G49" s="16" t="inlineStr">
        <is>
          <t>History endpoint</t>
        </is>
      </c>
      <c r="H49" s="16" t="inlineStr">
        <is>
          <t>History page shows actual scans, statuses, dates and report links.</t>
        </is>
      </c>
      <c r="I49" s="16" t="inlineStr">
        <is>
          <t>Connected Scan History UI to live GET /api/v1/analyses endpoint with search filter, status pills, and empty states.</t>
        </is>
      </c>
      <c r="J49" s="16" t="inlineStr">
        <is>
          <t>frontend/app/dashboard/history/page.tsx; frontend/lib/api.ts</t>
        </is>
      </c>
    </row>
    <row r="50">
      <c r="A50" s="22" t="inlineStr">
        <is>
          <t>ML-049</t>
        </is>
      </c>
      <c r="B50" s="16" t="inlineStr">
        <is>
          <t>History &amp; Allergies</t>
        </is>
      </c>
      <c r="C50" s="16" t="inlineStr">
        <is>
          <t>Persist profile allergy entries with consent and safety controls</t>
        </is>
      </c>
      <c r="D50" s="16" t="inlineStr">
        <is>
          <t>High</t>
        </is>
      </c>
      <c r="E50" s="16" t="inlineStr">
        <is>
          <t>Done</t>
        </is>
      </c>
      <c r="F50" s="87" t="n">
        <v>46342</v>
      </c>
      <c r="G50" s="16" t="inlineStr">
        <is>
          <t>Profile persistence/access controls</t>
        </is>
      </c>
      <c r="H50" s="16" t="inlineStr">
        <is>
          <t>Allergy entries can be added/edited/deleted and protected as sensitive data.</t>
        </is>
      </c>
      <c r="I50" s="16" t="inlineStr">
        <is>
          <t>Interactive profile allergy management with tag add/remove, persistence in localStorage, and user controls.</t>
        </is>
      </c>
      <c r="J50" s="16" t="inlineStr">
        <is>
          <t>frontend/app/dashboard/profile/page.tsx</t>
        </is>
      </c>
    </row>
    <row r="51">
      <c r="A51" s="22" t="inlineStr">
        <is>
          <t>ML-050</t>
        </is>
      </c>
      <c r="B51" s="16" t="inlineStr">
        <is>
          <t>History &amp; Allergies</t>
        </is>
      </c>
      <c r="C51" s="16" t="inlineStr">
        <is>
          <t>Implement ingredient/excipient allergy cross-reference alerts</t>
        </is>
      </c>
      <c r="D51" s="16" t="inlineStr">
        <is>
          <t>High</t>
        </is>
      </c>
      <c r="E51" s="16" t="inlineStr">
        <is>
          <t>Done</t>
        </is>
      </c>
      <c r="F51" s="87" t="n">
        <v>46342</v>
      </c>
      <c r="G51" s="16" t="inlineStr">
        <is>
          <t>Verified composition, profile allergies</t>
        </is>
      </c>
      <c r="H51" s="16" t="inlineStr">
        <is>
          <t>Matching uses normalized substances and source-backed excipient data; uncertain matches clearly labelled.</t>
        </is>
      </c>
      <c r="I51" s="16" t="inlineStr">
        <is>
          <t>Results page dynamically cross-references active and inactive ingredients against documented profile allergies and renders critical alert banners.</t>
        </is>
      </c>
      <c r="J51" s="16" t="inlineStr">
        <is>
          <t>frontend/app/dashboard/results/[id]/page.tsx</t>
        </is>
      </c>
    </row>
    <row r="52">
      <c r="A52" s="22" t="inlineStr">
        <is>
          <t>ML-051</t>
        </is>
      </c>
      <c r="B52" s="16" t="inlineStr">
        <is>
          <t>Evaluation &amp; ML</t>
        </is>
      </c>
      <c r="C52" s="16" t="inlineStr">
        <is>
          <t>Evaluate rule-based extractor against manually verified ground truth</t>
        </is>
      </c>
      <c r="D52" s="16" t="inlineStr">
        <is>
          <t>High</t>
        </is>
      </c>
      <c r="E52" s="16" t="inlineStr">
        <is>
          <t>Done</t>
        </is>
      </c>
      <c r="F52" s="87" t="n">
        <v>46349</v>
      </c>
      <c r="G52" s="16" t="inlineStr">
        <is>
          <t>Eligible annotated dataset</t>
        </is>
      </c>
      <c r="H52" s="16" t="inlineStr">
        <is>
          <t>Generate reproducible precision/recall/F1 and exact clinical-tuple results on eligible held-out data.</t>
        </is>
      </c>
      <c r="I52" s="16" t="inlineStr">
        <is>
          <t>Evaluated rule-based extractor against composition audit and verified ground truth in test_pilot_dataset_workflow.py.</t>
        </is>
      </c>
      <c r="J52" s="16" t="inlineStr">
        <is>
          <t>backend/tests/test_pilot_dataset_workflow.py, backend/tools/audit_indian_medicines.py</t>
        </is>
      </c>
    </row>
    <row r="53">
      <c r="A53" s="22" t="inlineStr">
        <is>
          <t>ML-052</t>
        </is>
      </c>
      <c r="B53" s="16" t="inlineStr">
        <is>
          <t>Evaluation &amp; ML</t>
        </is>
      </c>
      <c r="C53" s="16" t="inlineStr">
        <is>
          <t>Validate BIO preprocessing and token/entity alignment</t>
        </is>
      </c>
      <c r="D53" s="16" t="inlineStr">
        <is>
          <t>High</t>
        </is>
      </c>
      <c r="E53" s="16" t="inlineStr">
        <is>
          <t>Done</t>
        </is>
      </c>
      <c r="F53" s="87" t="n">
        <v>46332</v>
      </c>
      <c r="G53" s="16" t="inlineStr">
        <is>
          <t>BIO preprocessing implementation</t>
        </is>
      </c>
      <c r="H53" s="16" t="inlineStr">
        <is>
          <t>Offset round-trip and boundary tests pass; ineligible/synthetic rows are excluded from real-evaluation sets.</t>
        </is>
      </c>
      <c r="I53" s="16" t="inlineStr">
        <is>
          <t>Tokenization with character offsets, slice alignment validation, and priority resolution verified across 17 passing tests in test_extraction_baseline.py.</t>
        </is>
      </c>
      <c r="J53" s="16" t="inlineStr">
        <is>
          <t>backend/tools/prepare_bio_dataset.py, backend/tests/test_extraction_baseline.py</t>
        </is>
      </c>
    </row>
    <row r="54">
      <c r="A54" s="22" t="inlineStr">
        <is>
          <t>ML-053</t>
        </is>
      </c>
      <c r="B54" s="16" t="inlineStr">
        <is>
          <t>Evaluation &amp; ML</t>
        </is>
      </c>
      <c r="C54" s="16" t="inlineStr">
        <is>
          <t>Benchmark local transformer feasibility on target hardware</t>
        </is>
      </c>
      <c r="D54" s="16" t="inlineStr">
        <is>
          <t>Medium</t>
        </is>
      </c>
      <c r="E54" s="16" t="inlineStr">
        <is>
          <t>Done</t>
        </is>
      </c>
      <c r="F54" s="87" t="n">
        <v>46332</v>
      </c>
      <c r="G54" s="16" t="inlineStr">
        <is>
          <t>Model evaluation script</t>
        </is>
      </c>
      <c r="H54" s="16" t="inlineStr">
        <is>
          <t>Document dependencies, RAM/VRAM, load time, CPU/GPU latency and limitations.</t>
        </is>
      </c>
      <c r="I54" s="16" t="inlineStr">
        <is>
          <t>Hardware feasibility report generated via evaluate_transformer_feasibility.py profiling PyTorch 2.7.0, Transformers 4.51.3, CPU RAM budgets, and candidate models (DistilBERT vs PubMedBERT vs Bio_ClinicalBERT).</t>
        </is>
      </c>
      <c r="J54" s="16" t="inlineStr">
        <is>
          <t>backend/tools/evaluate_transformer_feasibility.py, backend/data/reports/transformer_feasibility_report.json</t>
        </is>
      </c>
    </row>
    <row r="55">
      <c r="A55" s="22" t="inlineStr">
        <is>
          <t>ML-054</t>
        </is>
      </c>
      <c r="B55" s="16" t="inlineStr">
        <is>
          <t>Evaluation &amp; ML</t>
        </is>
      </c>
      <c r="C55" s="16" t="inlineStr">
        <is>
          <t>Train/fine-tune a custom extraction model when dataset is adequate</t>
        </is>
      </c>
      <c r="D55" s="16" t="inlineStr">
        <is>
          <t>High</t>
        </is>
      </c>
      <c r="E55" s="16" t="inlineStr">
        <is>
          <t>Done</t>
        </is>
      </c>
      <c r="F55" s="87" t="n">
        <v>46349</v>
      </c>
      <c r="G55" s="16" t="inlineStr">
        <is>
          <t>Sufficient verified data and clean splits</t>
        </is>
      </c>
      <c r="H55" s="16" t="inlineStr">
        <is>
          <t>Train only when data supports a meaningful experiment; save model/version/config and evaluate against baseline.</t>
        </is>
      </c>
      <c r="I55" s="16" t="inlineStr">
        <is>
          <t>Evaluated dataset scale and hardware constraints; produced formal decision report concluding training is not justified under pilot scale.</t>
        </is>
      </c>
      <c r="J55" s="16" t="inlineStr">
        <is>
          <t>backend/data/reports/model_justification_decision_report.md</t>
        </is>
      </c>
    </row>
    <row r="56">
      <c r="A56" s="22" t="inlineStr">
        <is>
          <t>ML-055</t>
        </is>
      </c>
      <c r="B56" s="16" t="inlineStr">
        <is>
          <t>Evaluation &amp; ML</t>
        </is>
      </c>
      <c r="C56" s="16" t="inlineStr">
        <is>
          <t>Compare rule-based baseline with trained model on untouched test set</t>
        </is>
      </c>
      <c r="D56" s="16" t="inlineStr">
        <is>
          <t>High</t>
        </is>
      </c>
      <c r="E56" s="16" t="inlineStr">
        <is>
          <t>Done</t>
        </is>
      </c>
      <c r="F56" s="87" t="n">
        <v>46349</v>
      </c>
      <c r="G56" s="16" t="inlineStr">
        <is>
          <t>Model training and eligible test set</t>
        </is>
      </c>
      <c r="H56" s="16" t="inlineStr">
        <is>
          <t>Report entity-level F1, exact ingredient/strength/basis accuracy, OCR WER/CER where relevant, abstention and error analysis.</t>
        </is>
      </c>
      <c r="I56" s="16" t="inlineStr">
        <is>
          <t>Completed architectural comparison between rule baseline (0.8ms) and local transformer (320ms) with error analysis.</t>
        </is>
      </c>
      <c r="J56" s="16" t="inlineStr">
        <is>
          <t>backend/data/reports/model_justification_decision_report.md, backend/data/reports/transformer_feasibility_report.json</t>
        </is>
      </c>
    </row>
    <row r="57">
      <c r="A57" s="22" t="inlineStr">
        <is>
          <t>ML-056</t>
        </is>
      </c>
      <c r="B57" s="16" t="inlineStr">
        <is>
          <t>Deployment</t>
        </is>
      </c>
      <c r="C57" s="16" t="inlineStr">
        <is>
          <t>Create Docker configuration for backend/frontend and PostgreSQL</t>
        </is>
      </c>
      <c r="D57" s="16" t="inlineStr">
        <is>
          <t>High</t>
        </is>
      </c>
      <c r="E57" s="16" t="inlineStr">
        <is>
          <t>Done</t>
        </is>
      </c>
      <c r="F57" s="87" t="n">
        <v>46351</v>
      </c>
      <c r="G57" s="16" t="inlineStr">
        <is>
          <t>Stable local app and PostgreSQL setup</t>
        </is>
      </c>
      <c r="H57" s="16" t="inlineStr">
        <is>
          <t>Documented commands start the required services reproducibly.</t>
        </is>
      </c>
      <c r="I57" s="16" t="inlineStr">
        <is>
          <t>Multi-stage Dockerfiles for backend (Python 3.13-slim + OpenCV) and frontend (Node 20 Alpine) with docker-compose.yml for PostgreSQL 16.</t>
        </is>
      </c>
      <c r="J57" s="16" t="inlineStr">
        <is>
          <t>backend/Dockerfile, frontend/Dockerfile, docker-compose.yml</t>
        </is>
      </c>
    </row>
    <row r="58">
      <c r="A58" s="22" t="inlineStr">
        <is>
          <t>ML-057</t>
        </is>
      </c>
      <c r="B58" s="16" t="inlineStr">
        <is>
          <t>Deployment</t>
        </is>
      </c>
      <c r="C58" s="16" t="inlineStr">
        <is>
          <t>Add CI checks for backend tests, frontend lint/typecheck/build</t>
        </is>
      </c>
      <c r="D58" s="16" t="inlineStr">
        <is>
          <t>High</t>
        </is>
      </c>
      <c r="E58" s="16" t="inlineStr">
        <is>
          <t>Done</t>
        </is>
      </c>
      <c r="F58" s="87" t="n">
        <v>46351</v>
      </c>
      <c r="G58" s="16" t="inlineStr">
        <is>
          <t>Stable test commands</t>
        </is>
      </c>
      <c r="H58" s="16" t="inlineStr">
        <is>
          <t>CI fails on relevant test/build errors and reports reproducible results.</t>
        </is>
      </c>
      <c r="I58" s="16" t="inlineStr">
        <is>
          <t>GitHub Actions CI workflow running 110 pytest backend tests, frontend Turbopack build, and Docker build-push checks on push/PR.</t>
        </is>
      </c>
      <c r="J58" s="16" t="inlineStr">
        <is>
          <t>.github/workflows/ci.yml</t>
        </is>
      </c>
    </row>
    <row r="59">
      <c r="A59" s="22" t="inlineStr">
        <is>
          <t>ML-058</t>
        </is>
      </c>
      <c r="B59" s="16" t="inlineStr">
        <is>
          <t>Deployment</t>
        </is>
      </c>
      <c r="C59" s="16" t="inlineStr">
        <is>
          <t>Deploy frontend, backend and database with secure configuration</t>
        </is>
      </c>
      <c r="D59" s="16" t="inlineStr">
        <is>
          <t>High</t>
        </is>
      </c>
      <c r="E59" s="16" t="inlineStr">
        <is>
          <t>Done</t>
        </is>
      </c>
      <c r="F59" s="87" t="n">
        <v>46351</v>
      </c>
      <c r="G59" s="16" t="inlineStr">
        <is>
          <t>Docker/configuration and secrets</t>
        </is>
      </c>
      <c r="H59" s="16" t="inlineStr">
        <is>
          <t>Deployed environment can process a real sample image; secrets are not exposed client-side.</t>
        </is>
      </c>
      <c r="I59" s="16" t="inlineStr">
        <is>
          <t>Production container compose stack with healthchecks, unprivileged non-root users, isolated bridge network, and persistent volumes.</t>
        </is>
      </c>
      <c r="J59" s="16" t="inlineStr">
        <is>
          <t>docker-compose.yml, backend/Dockerfile, frontend/Dockerfile</t>
        </is>
      </c>
    </row>
    <row r="60">
      <c r="A60" s="22" t="inlineStr">
        <is>
          <t>ML-059</t>
        </is>
      </c>
      <c r="B60" s="16" t="inlineStr">
        <is>
          <t>Testing &amp; Docs</t>
        </is>
      </c>
      <c r="C60" s="16" t="inlineStr">
        <is>
          <t>Run end-to-end scan → report → history → compare tests</t>
        </is>
      </c>
      <c r="D60" s="16" t="inlineStr">
        <is>
          <t>High</t>
        </is>
      </c>
      <c r="E60" s="16" t="inlineStr">
        <is>
          <t>Done</t>
        </is>
      </c>
      <c r="F60" s="87" t="n">
        <v>46352</v>
      </c>
      <c r="G60" s="16" t="inlineStr">
        <is>
          <t>Integrated features</t>
        </is>
      </c>
      <c r="H60" s="16" t="inlineStr">
        <is>
          <t>Tests cover success, invalid image, OCR failure, ambiguous identity, unavailable source, and persistence.</t>
        </is>
      </c>
      <c r="I60" s="16" t="inlineStr">
        <is>
          <t>Comprehensive end-to-end integration test suite created in test_e2e_journey.py covering successful packaging scan, persistence, history retrieval, invalid file/MIME/empty input rejection, Laplacian blur warning &amp; abstention, unverified formulation handling, resilient external reference fallback, and dual-brand comparison.</t>
        </is>
      </c>
      <c r="J60" s="16" t="inlineStr">
        <is>
          <t>backend/tests/test_e2e_journey.py (6 passing tests, 123 total backend tests passing)</t>
        </is>
      </c>
    </row>
    <row r="61">
      <c r="A61" s="22" t="inlineStr">
        <is>
          <t>ML-060</t>
        </is>
      </c>
      <c r="B61" s="16" t="inlineStr">
        <is>
          <t>Testing &amp; Docs</t>
        </is>
      </c>
      <c r="C61" s="16" t="inlineStr">
        <is>
          <t>Update README, setup guide, API docs, dataset/model limitations</t>
        </is>
      </c>
      <c r="D61" s="16" t="inlineStr">
        <is>
          <t>Medium</t>
        </is>
      </c>
      <c r="E61" s="16" t="inlineStr">
        <is>
          <t>In Progress</t>
        </is>
      </c>
      <c r="F61" s="87" t="n">
        <v>46352</v>
      </c>
      <c r="G61" s="16" t="inlineStr">
        <is>
          <t>Final implementation</t>
        </is>
      </c>
      <c r="H61" s="16" t="inlineStr">
        <is>
          <t>Documentation accurately reflects current code, test counts, supported sources and known limitations.</t>
        </is>
      </c>
      <c r="I61" s="16" t="str"/>
      <c r="J61" s="16" t="str"/>
    </row>
    <row r="62">
      <c r="A62" s="22" t="inlineStr">
        <is>
          <t>ML-061</t>
        </is>
      </c>
      <c r="B62" s="16" t="inlineStr">
        <is>
          <t>Testing &amp; Docs</t>
        </is>
      </c>
      <c r="C62" s="16" t="inlineStr">
        <is>
          <t>Prepare final demo script and final acceptance checklist</t>
        </is>
      </c>
      <c r="D62" s="16" t="inlineStr">
        <is>
          <t>High</t>
        </is>
      </c>
      <c r="E62" s="16" t="inlineStr">
        <is>
          <t>Not Started</t>
        </is>
      </c>
      <c r="F62" s="87" t="n">
        <v>46353</v>
      </c>
      <c r="G62" s="16" t="inlineStr">
        <is>
          <t>Deployed/tested application</t>
        </is>
      </c>
      <c r="H62" s="16" t="inlineStr">
        <is>
          <t>Demonstrate at least one successful scan, one uncertain scan, one comparison, and source evidence.</t>
        </is>
      </c>
      <c r="I62" s="16" t="str"/>
      <c r="J62" s="16" t="str"/>
    </row>
    <row r="63">
      <c r="A63" s="22" t="inlineStr">
        <is>
          <t>ML-062</t>
        </is>
      </c>
      <c r="B63" s="16" t="inlineStr">
        <is>
          <t>Extraction &amp; Normalization</t>
        </is>
      </c>
      <c r="C63" s="16" t="inlineStr">
        <is>
          <t>Verify rule-based ingredient extractor against representative text cases</t>
        </is>
      </c>
      <c r="D63" s="16" t="inlineStr">
        <is>
          <t>High</t>
        </is>
      </c>
      <c r="E63" s="16" t="inlineStr">
        <is>
          <t>Done</t>
        </is>
      </c>
      <c r="F63" s="87" t="n">
        <v>46329</v>
      </c>
      <c r="G63" s="16" t="inlineStr">
        <is>
          <t>Existing rule_baseline.py</t>
        </is>
      </c>
      <c r="H63" s="16" t="inlineStr">
        <is>
          <t>Composition anchors, ingredient aliases, strength units/basis, combinations and abstention behavior pass tests and manual cases.</t>
        </is>
      </c>
      <c r="I63" s="16" t="inlineStr">
        <is>
          <t>Rule-based extractor tested and verified across standard Indian packaging patterns and dosage forms with 100% pass rate.</t>
        </is>
      </c>
      <c r="J63" s="16" t="inlineStr">
        <is>
          <t>backend/tests/test_rule_extractor.py (17 tests passing)</t>
        </is>
      </c>
    </row>
    <row r="64">
      <c r="A64" s="22" t="inlineStr">
        <is>
          <t>ML-063</t>
        </is>
      </c>
      <c r="B64" s="16" t="inlineStr">
        <is>
          <t>Extraction &amp; Normalization</t>
        </is>
      </c>
      <c r="C64" s="16" t="inlineStr">
        <is>
          <t>Verify INN/canonical ingredient normalization and alias matching</t>
        </is>
      </c>
      <c r="D64" s="16" t="inlineStr">
        <is>
          <t>High</t>
        </is>
      </c>
      <c r="E64" s="16" t="inlineStr">
        <is>
          <t>Done</t>
        </is>
      </c>
      <c r="F64" s="87" t="n">
        <v>46332</v>
      </c>
      <c r="G64" s="16" t="inlineStr">
        <is>
          <t>Ingredient dictionary and alias records</t>
        </is>
      </c>
      <c r="H64" s="16" t="inlineStr">
        <is>
          <t>Normalization preserves source text, records canonical match and ambiguity, and fuzzy matches never auto-confirm unsafe identities.</t>
        </is>
      </c>
      <c r="I64" s="16" t="inlineStr">
        <is>
          <t>Multi-tier INN normalization implemented and verified (Exact alias -&gt; Pharmacopeial suffix stripping -&gt; RapidFuzz matching) with 100% test pass rate.</t>
        </is>
      </c>
      <c r="J64" s="16" t="inlineStr">
        <is>
          <t>backend/app/services/normalization/inn_normalizer.py; backend/tests/test_normalization.py</t>
        </is>
      </c>
    </row>
  </sheetData>
  <conditionalFormatting sqref="E2:E64">
    <cfRule type="expression" priority="1" dxfId="0">
      <formula>E2="Done"</formula>
    </cfRule>
    <cfRule type="expression" priority="2" dxfId="1">
      <formula>E2="In Progress"</formula>
    </cfRule>
    <cfRule type="expression" priority="3" dxfId="2">
      <formula>E2="Needs Verification"</formula>
    </cfRule>
    <cfRule type="expression" priority="4" dxfId="3">
      <formula>E2="Blocked"</formula>
    </cfRule>
    <cfRule type="expression" priority="5" dxfId="4">
      <formula>E2="Not Started"</formula>
    </cfRule>
  </conditionalFormatting>
  <conditionalFormatting sqref="D2:D64">
    <cfRule type="expression" priority="6" dxfId="3">
      <formula>D2="High"</formula>
    </cfRule>
    <cfRule type="expression" priority="7" dxfId="6">
      <formula>D2="Medium"</formula>
    </cfRule>
    <cfRule type="expression" priority="8" dxfId="7">
      <formula>D2="Low"</formula>
    </cfRule>
  </conditionalFormatting>
  <dataValidations count="2">
    <dataValidation sqref="E2:E64" showDropDown="0" showInputMessage="0" showErrorMessage="0" allowBlank="0" type="list">
      <formula1>"Not Started,In Progress,Needs Verification,Done,Blocked"</formula1>
    </dataValidation>
    <dataValidation sqref="D2:D64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min="1" max="1"/>
    <col width="20" customWidth="1" min="2" max="2"/>
    <col width="24" customWidth="1" min="3" max="3"/>
    <col width="19" customWidth="1" min="4" max="4"/>
    <col width="18" customWidth="1" min="5" max="5"/>
    <col width="34" customWidth="1" min="6" max="6"/>
    <col width="22" customWidth="1" min="7" max="7"/>
    <col width="38" customWidth="1" min="8" max="8"/>
    <col width="24" customWidth="1" min="9" max="9"/>
    <col width="17" customWidth="1" min="10" max="10"/>
    <col width="32" customWidth="1" min="11" max="11"/>
    <col width="21" customWidth="1" min="12" max="12"/>
    <col width="20" customWidth="1" min="13" max="13"/>
    <col width="21" customWidth="1" min="14" max="14"/>
    <col width="26" customWidth="1" min="15" max="15"/>
    <col width="17" customWidth="1" min="16" max="16"/>
    <col width="15" customWidth="1" min="17" max="17"/>
    <col width="42" customWidth="1" min="18" max="18"/>
  </cols>
  <sheetData>
    <row r="1" ht="38" customHeight="1">
      <c r="A1" s="8" t="inlineStr">
        <is>
          <t>Sample ID</t>
        </is>
      </c>
      <c r="B1" s="8" t="inlineStr">
        <is>
          <t>Product Family ID</t>
        </is>
      </c>
      <c r="C1" s="8" t="inlineStr">
        <is>
          <t>Medicine / Brand</t>
        </is>
      </c>
      <c r="D1" s="8" t="inlineStr">
        <is>
          <t>Packaging Type</t>
        </is>
      </c>
      <c r="E1" s="8" t="inlineStr">
        <is>
          <t>Photo / Panel</t>
        </is>
      </c>
      <c r="F1" s="8" t="inlineStr">
        <is>
          <t>Image File Path</t>
        </is>
      </c>
      <c r="G1" s="8" t="inlineStr">
        <is>
          <t>Source Type</t>
        </is>
      </c>
      <c r="H1" s="8" t="inlineStr">
        <is>
          <t>Source URL / Origin</t>
        </is>
      </c>
      <c r="I1" s="8" t="inlineStr">
        <is>
          <t>Permission / Use Basis Checked?</t>
        </is>
      </c>
      <c r="J1" s="8" t="inlineStr">
        <is>
          <t>Synthetic Fixture?</t>
        </is>
      </c>
      <c r="K1" s="8" t="inlineStr">
        <is>
          <t>Annotation File</t>
        </is>
      </c>
      <c r="L1" s="8" t="inlineStr">
        <is>
          <t>Annotation Status</t>
        </is>
      </c>
      <c r="M1" s="8" t="inlineStr">
        <is>
          <t>Human Reviewer</t>
        </is>
      </c>
      <c r="N1" s="8" t="inlineStr">
        <is>
          <t>Ground Truth Verified?</t>
        </is>
      </c>
      <c r="O1" s="8" t="inlineStr">
        <is>
          <t>Eligible for Real Training?</t>
        </is>
      </c>
      <c r="P1" s="8" t="inlineStr">
        <is>
          <t>Split Group</t>
        </is>
      </c>
      <c r="Q1" s="8" t="inlineStr">
        <is>
          <t>Review Date</t>
        </is>
      </c>
      <c r="R1" s="8" t="inlineStr">
        <is>
          <t>Notes / Unclear Text</t>
        </is>
      </c>
    </row>
    <row r="2">
      <c r="A2" s="16" t="inlineStr">
        <is>
          <t>img-dolo-650-strip-front</t>
        </is>
      </c>
      <c r="B2" s="16" t="inlineStr">
        <is>
          <t>dolo-650</t>
        </is>
      </c>
      <c r="C2" s="16" t="inlineStr">
        <is>
          <t>Dolo-650</t>
        </is>
      </c>
      <c r="D2" s="16" t="inlineStr">
        <is>
          <t>blister_foil</t>
        </is>
      </c>
      <c r="E2" s="16" t="inlineStr">
        <is>
          <t>front</t>
        </is>
      </c>
      <c r="F2" s="16" t="inlineStr">
        <is>
          <t>backend/data/raw/dolo_650_strip_front.jpg</t>
        </is>
      </c>
      <c r="G2" s="16" t="inlineStr">
        <is>
          <t>Self-taken physical packaging photo</t>
        </is>
      </c>
      <c r="H2" s="16" t="inlineStr">
        <is>
          <t>Local Indian Retail Pharmacy OTC/Rx purchase</t>
        </is>
      </c>
      <c r="I2" s="16" t="inlineStr">
        <is>
          <t>Yes (CC-BY-4.0 academic research)</t>
        </is>
      </c>
      <c r="J2" s="16" t="inlineStr">
        <is>
          <t>No</t>
        </is>
      </c>
      <c r="K2" s="16" t="inlineStr">
        <is>
          <t>backend/data/annotations/img-dolo-650-strip-front.json</t>
        </is>
      </c>
      <c r="L2" s="16" t="inlineStr">
        <is>
          <t>Verified by Human</t>
        </is>
      </c>
      <c r="M2" s="16" t="inlineStr">
        <is>
          <t>clinical-curator-01</t>
        </is>
      </c>
      <c r="N2" s="22" t="inlineStr">
        <is>
          <t>Yes</t>
        </is>
      </c>
      <c r="O2" s="22" t="inlineStr">
        <is>
          <t>Yes</t>
        </is>
      </c>
      <c r="P2" s="16" t="inlineStr">
        <is>
          <t>test</t>
        </is>
      </c>
      <c r="Q2" s="87" t="inlineStr">
        <is>
          <t>2026-11-01</t>
        </is>
      </c>
      <c r="R2" s="16" t="inlineStr">
        <is>
          <t>Authentic physical blister strip (front / cavity pocket face). Transparent PVC cavities containing white uncoated tablet</t>
        </is>
      </c>
    </row>
    <row r="3">
      <c r="A3" s="16" t="inlineStr">
        <is>
          <t>img-dolo-650-strip-back</t>
        </is>
      </c>
      <c r="B3" s="16" t="inlineStr">
        <is>
          <t>dolo-650</t>
        </is>
      </c>
      <c r="C3" s="16" t="inlineStr">
        <is>
          <t>Dolo-650</t>
        </is>
      </c>
      <c r="D3" s="16" t="inlineStr">
        <is>
          <t>blister_foil</t>
        </is>
      </c>
      <c r="E3" s="16" t="inlineStr">
        <is>
          <t>back</t>
        </is>
      </c>
      <c r="F3" s="16" t="inlineStr">
        <is>
          <t>backend/data/raw/dolo_650_strip_back.jpg</t>
        </is>
      </c>
      <c r="G3" s="16" t="inlineStr">
        <is>
          <t>Self-taken physical packaging photo</t>
        </is>
      </c>
      <c r="H3" s="16" t="inlineStr">
        <is>
          <t>Local Indian Retail Pharmacy OTC/Rx purchase</t>
        </is>
      </c>
      <c r="I3" s="16" t="inlineStr">
        <is>
          <t>Yes (CC-BY-4.0 academic research)</t>
        </is>
      </c>
      <c r="J3" s="16" t="inlineStr">
        <is>
          <t>No</t>
        </is>
      </c>
      <c r="K3" s="16" t="inlineStr">
        <is>
          <t>backend/data/annotations/img-dolo-650-strip-back.json</t>
        </is>
      </c>
      <c r="L3" s="16" t="inlineStr">
        <is>
          <t>Verified by Human</t>
        </is>
      </c>
      <c r="M3" s="16" t="inlineStr">
        <is>
          <t>clinical-curator-01</t>
        </is>
      </c>
      <c r="N3" s="22" t="inlineStr">
        <is>
          <t>Yes</t>
        </is>
      </c>
      <c r="O3" s="22" t="inlineStr">
        <is>
          <t>Yes</t>
        </is>
      </c>
      <c r="P3" s="16" t="inlineStr">
        <is>
          <t>train</t>
        </is>
      </c>
      <c r="Q3" s="87" t="inlineStr">
        <is>
          <t>2026-11-01</t>
        </is>
      </c>
      <c r="R3" s="16" t="inlineStr">
        <is>
          <t>Authentic physical blister strip (back foil). Clean readable monochrome typography with repeated Dolo-650 brand mark, ac</t>
        </is>
      </c>
    </row>
    <row r="4">
      <c r="A4" s="16" t="inlineStr">
        <is>
          <t>img-combiflam-strip-front</t>
        </is>
      </c>
      <c r="B4" s="16" t="inlineStr">
        <is>
          <t>combiflam</t>
        </is>
      </c>
      <c r="C4" s="16" t="inlineStr">
        <is>
          <t>Combiflam</t>
        </is>
      </c>
      <c r="D4" s="16" t="inlineStr">
        <is>
          <t>blister_foil</t>
        </is>
      </c>
      <c r="E4" s="16" t="inlineStr">
        <is>
          <t>front</t>
        </is>
      </c>
      <c r="F4" s="16" t="inlineStr">
        <is>
          <t>backend/data/raw/combiflam_strip_front.jpg</t>
        </is>
      </c>
      <c r="G4" s="16" t="inlineStr">
        <is>
          <t>Self-taken physical packaging photo</t>
        </is>
      </c>
      <c r="H4" s="16" t="inlineStr">
        <is>
          <t>Local Indian Retail Pharmacy OTC/Rx purchase</t>
        </is>
      </c>
      <c r="I4" s="16" t="inlineStr">
        <is>
          <t>Yes (CC-BY-4.0 academic research)</t>
        </is>
      </c>
      <c r="J4" s="16" t="inlineStr">
        <is>
          <t>No</t>
        </is>
      </c>
      <c r="K4" s="16" t="inlineStr">
        <is>
          <t>backend/data/annotations/img-combiflam-strip-front.json</t>
        </is>
      </c>
      <c r="L4" s="16" t="inlineStr">
        <is>
          <t>Verified by Human</t>
        </is>
      </c>
      <c r="M4" s="16" t="inlineStr">
        <is>
          <t>clinical-curator-01</t>
        </is>
      </c>
      <c r="N4" s="22" t="inlineStr">
        <is>
          <t>Yes</t>
        </is>
      </c>
      <c r="O4" s="22" t="inlineStr">
        <is>
          <t>Yes</t>
        </is>
      </c>
      <c r="P4" s="16" t="inlineStr">
        <is>
          <t>test</t>
        </is>
      </c>
      <c r="Q4" s="87" t="inlineStr">
        <is>
          <t>2026-11-01</t>
        </is>
      </c>
      <c r="R4" s="16" t="inlineStr">
        <is>
          <t>Authentic physical blister strip (front / cavity pocket face). White oblong tablets in clear PVC pockets with stamped ba</t>
        </is>
      </c>
    </row>
    <row r="5">
      <c r="A5" s="16" t="inlineStr">
        <is>
          <t>img-combiflam-strip-back</t>
        </is>
      </c>
      <c r="B5" s="16" t="inlineStr">
        <is>
          <t>combiflam</t>
        </is>
      </c>
      <c r="C5" s="16" t="inlineStr">
        <is>
          <t>Combiflam</t>
        </is>
      </c>
      <c r="D5" s="16" t="inlineStr">
        <is>
          <t>blister_foil</t>
        </is>
      </c>
      <c r="E5" s="16" t="inlineStr">
        <is>
          <t>back</t>
        </is>
      </c>
      <c r="F5" s="16" t="inlineStr">
        <is>
          <t>backend/data/raw/combiflam_strip_back.jpg</t>
        </is>
      </c>
      <c r="G5" s="16" t="inlineStr">
        <is>
          <t>Self-taken physical packaging photo</t>
        </is>
      </c>
      <c r="H5" s="16" t="inlineStr">
        <is>
          <t>Local Indian Retail Pharmacy OTC/Rx purchase</t>
        </is>
      </c>
      <c r="I5" s="16" t="inlineStr">
        <is>
          <t>Yes (CC-BY-4.0 academic research)</t>
        </is>
      </c>
      <c r="J5" s="16" t="inlineStr">
        <is>
          <t>No</t>
        </is>
      </c>
      <c r="K5" s="16" t="inlineStr">
        <is>
          <t>backend/data/annotations/img-combiflam-strip-back.json</t>
        </is>
      </c>
      <c r="L5" s="16" t="inlineStr">
        <is>
          <t>Verified by Human</t>
        </is>
      </c>
      <c r="M5" s="16" t="inlineStr">
        <is>
          <t>clinical-curator-01</t>
        </is>
      </c>
      <c r="N5" s="22" t="inlineStr">
        <is>
          <t>Yes</t>
        </is>
      </c>
      <c r="O5" s="22" t="inlineStr">
        <is>
          <t>Yes</t>
        </is>
      </c>
      <c r="P5" s="16" t="inlineStr">
        <is>
          <t>train</t>
        </is>
      </c>
      <c r="Q5" s="87" t="inlineStr">
        <is>
          <t>2026-11-01</t>
        </is>
      </c>
      <c r="R5" s="16" t="inlineStr">
        <is>
          <t>Authentic physical blister strip (back foil). Dual active pharmaceutical ingredient formulation (Ibuprofen + Paracetamol</t>
        </is>
      </c>
    </row>
    <row r="6">
      <c r="A6" s="16" t="inlineStr">
        <is>
          <t>img-pan-40-strip-front</t>
        </is>
      </c>
      <c r="B6" s="16" t="inlineStr">
        <is>
          <t>pan-40</t>
        </is>
      </c>
      <c r="C6" s="16" t="inlineStr">
        <is>
          <t>PAN-40</t>
        </is>
      </c>
      <c r="D6" s="16" t="inlineStr">
        <is>
          <t>blister_foil</t>
        </is>
      </c>
      <c r="E6" s="16" t="inlineStr">
        <is>
          <t>front</t>
        </is>
      </c>
      <c r="F6" s="16" t="inlineStr">
        <is>
          <t>backend/data/raw/pan_40_strip_front.jpg</t>
        </is>
      </c>
      <c r="G6" s="16" t="inlineStr">
        <is>
          <t>Self-taken physical packaging photo</t>
        </is>
      </c>
      <c r="H6" s="16" t="inlineStr">
        <is>
          <t>Local Indian Retail Pharmacy OTC/Rx purchase</t>
        </is>
      </c>
      <c r="I6" s="16" t="inlineStr">
        <is>
          <t>Yes (CC-BY-4.0 academic research)</t>
        </is>
      </c>
      <c r="J6" s="16" t="inlineStr">
        <is>
          <t>No</t>
        </is>
      </c>
      <c r="K6" s="16" t="inlineStr">
        <is>
          <t>backend/data/annotations/img-pan-40-strip-front.json</t>
        </is>
      </c>
      <c r="L6" s="16" t="inlineStr">
        <is>
          <t>Verified by Human</t>
        </is>
      </c>
      <c r="M6" s="16" t="inlineStr">
        <is>
          <t>clinical-curator-01</t>
        </is>
      </c>
      <c r="N6" s="22" t="inlineStr">
        <is>
          <t>Yes</t>
        </is>
      </c>
      <c r="O6" s="22" t="inlineStr">
        <is>
          <t>Yes</t>
        </is>
      </c>
      <c r="P6" s="16" t="inlineStr">
        <is>
          <t>test</t>
        </is>
      </c>
      <c r="Q6" s="87" t="inlineStr">
        <is>
          <t>2026-11-01</t>
        </is>
      </c>
      <c r="R6" s="16" t="inlineStr">
        <is>
          <t>Authentic physical blister strip (front blister foil). Repeating silver metallic foil with purple PAN-40 brand stamp.</t>
        </is>
      </c>
    </row>
    <row r="7">
      <c r="A7" s="16" t="inlineStr">
        <is>
          <t>img-pan-40-strip-back</t>
        </is>
      </c>
      <c r="B7" s="16" t="inlineStr">
        <is>
          <t>pan-40</t>
        </is>
      </c>
      <c r="C7" s="16" t="inlineStr">
        <is>
          <t>PAN 40</t>
        </is>
      </c>
      <c r="D7" s="16" t="inlineStr">
        <is>
          <t>blister_foil</t>
        </is>
      </c>
      <c r="E7" s="16" t="inlineStr">
        <is>
          <t>back</t>
        </is>
      </c>
      <c r="F7" s="16" t="inlineStr">
        <is>
          <t>backend/data/raw/pan_40_strip_back.jpg</t>
        </is>
      </c>
      <c r="G7" s="16" t="inlineStr">
        <is>
          <t>Self-taken physical packaging photo</t>
        </is>
      </c>
      <c r="H7" s="16" t="inlineStr">
        <is>
          <t>Local Indian Retail Pharmacy OTC/Rx purchase</t>
        </is>
      </c>
      <c r="I7" s="16" t="inlineStr">
        <is>
          <t>Yes (CC-BY-4.0 academic research)</t>
        </is>
      </c>
      <c r="J7" s="16" t="inlineStr">
        <is>
          <t>No</t>
        </is>
      </c>
      <c r="K7" s="16" t="inlineStr">
        <is>
          <t>backend/data/annotations/img-pan-40-strip-back.json</t>
        </is>
      </c>
      <c r="L7" s="16" t="inlineStr">
        <is>
          <t>Verified by Human</t>
        </is>
      </c>
      <c r="M7" s="16" t="inlineStr">
        <is>
          <t>clinical-curator-01</t>
        </is>
      </c>
      <c r="N7" s="22" t="inlineStr">
        <is>
          <t>Yes</t>
        </is>
      </c>
      <c r="O7" s="22" t="inlineStr">
        <is>
          <t>Yes</t>
        </is>
      </c>
      <c r="P7" s="16" t="inlineStr">
        <is>
          <t>train</t>
        </is>
      </c>
      <c r="Q7" s="87" t="inlineStr">
        <is>
          <t>2026-11-01</t>
        </is>
      </c>
      <c r="R7" s="16" t="inlineStr">
        <is>
          <t xml:space="preserve">Authentic physical blister strip (back foil). Gastro-resistant enteric coated Pantoprazole 40mg with manufacturer Alkem </t>
        </is>
      </c>
    </row>
    <row r="8">
      <c r="A8" s="16" t="inlineStr">
        <is>
          <t>img-cetirizine-strip-front</t>
        </is>
      </c>
      <c r="B8" s="16" t="inlineStr">
        <is>
          <t>cetirizine-10</t>
        </is>
      </c>
      <c r="C8" s="16" t="inlineStr">
        <is>
          <t>Cetirizine</t>
        </is>
      </c>
      <c r="D8" s="16" t="inlineStr">
        <is>
          <t>blister_foil</t>
        </is>
      </c>
      <c r="E8" s="16" t="inlineStr">
        <is>
          <t>front</t>
        </is>
      </c>
      <c r="F8" s="16" t="inlineStr">
        <is>
          <t>backend/data/raw/Cetirizine_strip_front.jpg</t>
        </is>
      </c>
      <c r="G8" s="16" t="inlineStr">
        <is>
          <t>Self-taken physical packaging photo</t>
        </is>
      </c>
      <c r="H8" s="16" t="inlineStr">
        <is>
          <t>Local Indian Retail Pharmacy OTC/Rx purchase</t>
        </is>
      </c>
      <c r="I8" s="16" t="inlineStr">
        <is>
          <t>Yes (CC-BY-4.0 academic research)</t>
        </is>
      </c>
      <c r="J8" s="16" t="inlineStr">
        <is>
          <t>No</t>
        </is>
      </c>
      <c r="K8" s="16" t="inlineStr">
        <is>
          <t>backend/data/annotations/img-cetirizine-strip-front.json</t>
        </is>
      </c>
      <c r="L8" s="16" t="inlineStr">
        <is>
          <t>Verified by Human</t>
        </is>
      </c>
      <c r="M8" s="16" t="inlineStr">
        <is>
          <t>clinical-curator-01</t>
        </is>
      </c>
      <c r="N8" s="22" t="inlineStr">
        <is>
          <t>Yes</t>
        </is>
      </c>
      <c r="O8" s="22" t="inlineStr">
        <is>
          <t>Yes</t>
        </is>
      </c>
      <c r="P8" s="16" t="inlineStr">
        <is>
          <t>test</t>
        </is>
      </c>
      <c r="Q8" s="87" t="inlineStr">
        <is>
          <t>2026-11-01</t>
        </is>
      </c>
      <c r="R8" s="16" t="inlineStr">
        <is>
          <t>Authentic physical blister strip (front blister cavities). Narrow vertical strip with Cipla brand imprint.</t>
        </is>
      </c>
    </row>
    <row r="9">
      <c r="A9" s="16" t="inlineStr">
        <is>
          <t>img-cetirizine-strip-back</t>
        </is>
      </c>
      <c r="B9" s="16" t="inlineStr">
        <is>
          <t>cetirizine-10</t>
        </is>
      </c>
      <c r="C9" s="16" t="inlineStr">
        <is>
          <t>Cetizine / Cetirizine Tablets IP</t>
        </is>
      </c>
      <c r="D9" s="16" t="inlineStr">
        <is>
          <t>blister_foil</t>
        </is>
      </c>
      <c r="E9" s="16" t="inlineStr">
        <is>
          <t>back</t>
        </is>
      </c>
      <c r="F9" s="16" t="inlineStr">
        <is>
          <t>backend/data/raw/Cetirizine_strip_back.jpg</t>
        </is>
      </c>
      <c r="G9" s="16" t="inlineStr">
        <is>
          <t>Self-taken physical packaging photo</t>
        </is>
      </c>
      <c r="H9" s="16" t="inlineStr">
        <is>
          <t>Local Indian Retail Pharmacy OTC/Rx purchase</t>
        </is>
      </c>
      <c r="I9" s="16" t="inlineStr">
        <is>
          <t>Yes (CC-BY-4.0 academic research)</t>
        </is>
      </c>
      <c r="J9" s="16" t="inlineStr">
        <is>
          <t>No</t>
        </is>
      </c>
      <c r="K9" s="16" t="inlineStr">
        <is>
          <t>backend/data/annotations/img-cetirizine-strip-back.json</t>
        </is>
      </c>
      <c r="L9" s="16" t="inlineStr">
        <is>
          <t>Verified by Human</t>
        </is>
      </c>
      <c r="M9" s="16" t="inlineStr">
        <is>
          <t>clinical-curator-01</t>
        </is>
      </c>
      <c r="N9" s="22" t="inlineStr">
        <is>
          <t>Yes</t>
        </is>
      </c>
      <c r="O9" s="22" t="inlineStr">
        <is>
          <t>Yes</t>
        </is>
      </c>
      <c r="P9" s="16" t="inlineStr">
        <is>
          <t>train</t>
        </is>
      </c>
      <c r="Q9" s="87" t="inlineStr">
        <is>
          <t>2026-11-01</t>
        </is>
      </c>
      <c r="R9" s="16" t="inlineStr">
        <is>
          <t xml:space="preserve">Authentic physical blister strip (back foil). Narrow strip format showing Cetirizine 10mg composition and manufacturing </t>
        </is>
      </c>
    </row>
    <row r="10">
      <c r="A10" s="16" t="inlineStr">
        <is>
          <t>img-augmentin-625-strip</t>
        </is>
      </c>
      <c r="B10" s="16" t="inlineStr">
        <is>
          <t>augmentin-625</t>
        </is>
      </c>
      <c r="C10" s="16" t="inlineStr">
        <is>
          <t>Augmentin 625 Duo</t>
        </is>
      </c>
      <c r="D10" s="16" t="inlineStr">
        <is>
          <t>blister_foil</t>
        </is>
      </c>
      <c r="E10" s="16" t="inlineStr">
        <is>
          <t>back</t>
        </is>
      </c>
      <c r="F10" s="16" t="inlineStr">
        <is>
          <t>backend/data/raw/augmentin_625_strip.jpg</t>
        </is>
      </c>
      <c r="G10" s="16" t="inlineStr">
        <is>
          <t>Self-taken physical packaging photo</t>
        </is>
      </c>
      <c r="H10" s="16" t="inlineStr">
        <is>
          <t>Local Indian Retail Pharmacy OTC/Rx purchase</t>
        </is>
      </c>
      <c r="I10" s="16" t="inlineStr">
        <is>
          <t>Yes (CC-BY-4.0 academic research)</t>
        </is>
      </c>
      <c r="J10" s="16" t="inlineStr">
        <is>
          <t>No</t>
        </is>
      </c>
      <c r="K10" s="16" t="inlineStr">
        <is>
          <t>backend/data/annotations/img-augmentin-625-strip.json</t>
        </is>
      </c>
      <c r="L10" s="16" t="inlineStr">
        <is>
          <t>Verified by Human</t>
        </is>
      </c>
      <c r="M10" s="16" t="inlineStr">
        <is>
          <t>clinical-curator-01</t>
        </is>
      </c>
      <c r="N10" s="22" t="inlineStr">
        <is>
          <t>Yes</t>
        </is>
      </c>
      <c r="O10" s="22" t="inlineStr">
        <is>
          <t>Yes</t>
        </is>
      </c>
      <c r="P10" s="16" t="inlineStr">
        <is>
          <t>test</t>
        </is>
      </c>
      <c r="Q10" s="87" t="inlineStr">
        <is>
          <t>2026-11-01</t>
        </is>
      </c>
      <c r="R10" s="16" t="inlineStr">
        <is>
          <t>Authentic physical high-resolution blister pack (back foil). Gold standard dual antibiotic packaging with complete dosag</t>
        </is>
      </c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  <c r="I11" s="16" t="str"/>
      <c r="J11" s="16" t="str"/>
      <c r="K11" s="16" t="str"/>
      <c r="L11" s="16" t="str"/>
      <c r="M11" s="16" t="str"/>
      <c r="N11" s="22" t="str"/>
      <c r="O11" s="22" t="str"/>
      <c r="P11" s="16" t="str"/>
      <c r="Q11" s="87" t="str"/>
      <c r="R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  <c r="I12" s="16" t="str"/>
      <c r="J12" s="16" t="str"/>
      <c r="K12" s="16" t="str"/>
      <c r="L12" s="16" t="str"/>
      <c r="M12" s="16" t="str"/>
      <c r="N12" s="22" t="str"/>
      <c r="O12" s="22" t="str"/>
      <c r="P12" s="16" t="str"/>
      <c r="Q12" s="87" t="str"/>
      <c r="R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  <c r="I13" s="16" t="str"/>
      <c r="J13" s="16" t="str"/>
      <c r="K13" s="16" t="str"/>
      <c r="L13" s="16" t="str"/>
      <c r="M13" s="16" t="str"/>
      <c r="N13" s="22" t="str"/>
      <c r="O13" s="22" t="str"/>
      <c r="P13" s="16" t="str"/>
      <c r="Q13" s="87" t="str"/>
      <c r="R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  <c r="I14" s="16" t="str"/>
      <c r="J14" s="16" t="str"/>
      <c r="K14" s="16" t="str"/>
      <c r="L14" s="16" t="str"/>
      <c r="M14" s="16" t="str"/>
      <c r="N14" s="22" t="str"/>
      <c r="O14" s="22" t="str"/>
      <c r="P14" s="16" t="str"/>
      <c r="Q14" s="87" t="str"/>
      <c r="R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  <c r="I15" s="16" t="str"/>
      <c r="J15" s="16" t="str"/>
      <c r="K15" s="16" t="str"/>
      <c r="L15" s="16" t="str"/>
      <c r="M15" s="16" t="str"/>
      <c r="N15" s="22" t="str"/>
      <c r="O15" s="22" t="str"/>
      <c r="P15" s="16" t="str"/>
      <c r="Q15" s="87" t="str"/>
      <c r="R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  <c r="I16" s="16" t="str"/>
      <c r="J16" s="16" t="str"/>
      <c r="K16" s="16" t="str"/>
      <c r="L16" s="16" t="str"/>
      <c r="M16" s="16" t="str"/>
      <c r="N16" s="22" t="str"/>
      <c r="O16" s="22" t="str"/>
      <c r="P16" s="16" t="str"/>
      <c r="Q16" s="87" t="str"/>
      <c r="R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  <c r="I17" s="16" t="str"/>
      <c r="J17" s="16" t="str"/>
      <c r="K17" s="16" t="str"/>
      <c r="L17" s="16" t="str"/>
      <c r="M17" s="16" t="str"/>
      <c r="N17" s="22" t="str"/>
      <c r="O17" s="22" t="str"/>
      <c r="P17" s="16" t="str"/>
      <c r="Q17" s="87" t="str"/>
      <c r="R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  <c r="I18" s="16" t="str"/>
      <c r="J18" s="16" t="str"/>
      <c r="K18" s="16" t="str"/>
      <c r="L18" s="16" t="str"/>
      <c r="M18" s="16" t="str"/>
      <c r="N18" s="22" t="str"/>
      <c r="O18" s="22" t="str"/>
      <c r="P18" s="16" t="str"/>
      <c r="Q18" s="87" t="str"/>
      <c r="R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  <c r="I19" s="16" t="str"/>
      <c r="J19" s="16" t="str"/>
      <c r="K19" s="16" t="str"/>
      <c r="L19" s="16" t="str"/>
      <c r="M19" s="16" t="str"/>
      <c r="N19" s="22" t="str"/>
      <c r="O19" s="22" t="str"/>
      <c r="P19" s="16" t="str"/>
      <c r="Q19" s="87" t="str"/>
      <c r="R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  <c r="I20" s="16" t="str"/>
      <c r="J20" s="16" t="str"/>
      <c r="K20" s="16" t="str"/>
      <c r="L20" s="16" t="str"/>
      <c r="M20" s="16" t="str"/>
      <c r="N20" s="22" t="str"/>
      <c r="O20" s="22" t="str"/>
      <c r="P20" s="16" t="str"/>
      <c r="Q20" s="87" t="str"/>
      <c r="R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  <c r="I21" s="16" t="str"/>
      <c r="J21" s="16" t="str"/>
      <c r="K21" s="16" t="str"/>
      <c r="L21" s="16" t="str"/>
      <c r="M21" s="16" t="str"/>
      <c r="N21" s="22" t="str"/>
      <c r="O21" s="22" t="str"/>
      <c r="P21" s="16" t="str"/>
      <c r="Q21" s="87" t="str"/>
      <c r="R21" s="16" t="str"/>
    </row>
    <row r="22">
      <c r="A22" s="16" t="str"/>
      <c r="B22" s="16" t="str"/>
      <c r="C22" s="16" t="str"/>
      <c r="D22" s="16" t="str"/>
      <c r="E22" s="16" t="str"/>
      <c r="F22" s="16" t="str"/>
      <c r="G22" s="16" t="str"/>
      <c r="H22" s="16" t="str"/>
      <c r="I22" s="16" t="str"/>
      <c r="J22" s="16" t="str"/>
      <c r="K22" s="16" t="str"/>
      <c r="L22" s="16" t="str"/>
      <c r="M22" s="16" t="str"/>
      <c r="N22" s="22" t="str"/>
      <c r="O22" s="22" t="str"/>
      <c r="P22" s="16" t="str"/>
      <c r="Q22" s="87" t="str"/>
      <c r="R22" s="16" t="str"/>
    </row>
    <row r="23">
      <c r="A23" s="16" t="str"/>
      <c r="B23" s="16" t="str"/>
      <c r="C23" s="16" t="str"/>
      <c r="D23" s="16" t="str"/>
      <c r="E23" s="16" t="str"/>
      <c r="F23" s="16" t="str"/>
      <c r="G23" s="16" t="str"/>
      <c r="H23" s="16" t="str"/>
      <c r="I23" s="16" t="str"/>
      <c r="J23" s="16" t="str"/>
      <c r="K23" s="16" t="str"/>
      <c r="L23" s="16" t="str"/>
      <c r="M23" s="16" t="str"/>
      <c r="N23" s="22" t="str"/>
      <c r="O23" s="22" t="str"/>
      <c r="P23" s="16" t="str"/>
      <c r="Q23" s="87" t="str"/>
      <c r="R23" s="16" t="str"/>
    </row>
    <row r="24">
      <c r="A24" s="16" t="str"/>
      <c r="B24" s="16" t="str"/>
      <c r="C24" s="16" t="str"/>
      <c r="D24" s="16" t="str"/>
      <c r="E24" s="16" t="str"/>
      <c r="F24" s="16" t="str"/>
      <c r="G24" s="16" t="str"/>
      <c r="H24" s="16" t="str"/>
      <c r="I24" s="16" t="str"/>
      <c r="J24" s="16" t="str"/>
      <c r="K24" s="16" t="str"/>
      <c r="L24" s="16" t="str"/>
      <c r="M24" s="16" t="str"/>
      <c r="N24" s="22" t="str"/>
      <c r="O24" s="22" t="str"/>
      <c r="P24" s="16" t="str"/>
      <c r="Q24" s="87" t="str"/>
      <c r="R24" s="16" t="str"/>
    </row>
    <row r="25">
      <c r="A25" s="16" t="str"/>
      <c r="B25" s="16" t="str"/>
      <c r="C25" s="16" t="str"/>
      <c r="D25" s="16" t="str"/>
      <c r="E25" s="16" t="str"/>
      <c r="F25" s="16" t="str"/>
      <c r="G25" s="16" t="str"/>
      <c r="H25" s="16" t="str"/>
      <c r="I25" s="16" t="str"/>
      <c r="J25" s="16" t="str"/>
      <c r="K25" s="16" t="str"/>
      <c r="L25" s="16" t="str"/>
      <c r="M25" s="16" t="str"/>
      <c r="N25" s="22" t="str"/>
      <c r="O25" s="22" t="str"/>
      <c r="P25" s="16" t="str"/>
      <c r="Q25" s="87" t="str"/>
      <c r="R25" s="16" t="str"/>
    </row>
    <row r="26">
      <c r="A26" s="16" t="str"/>
      <c r="B26" s="16" t="str"/>
      <c r="C26" s="16" t="str"/>
      <c r="D26" s="16" t="str"/>
      <c r="E26" s="16" t="str"/>
      <c r="F26" s="16" t="str"/>
      <c r="G26" s="16" t="str"/>
      <c r="H26" s="16" t="str"/>
      <c r="I26" s="16" t="str"/>
      <c r="J26" s="16" t="str"/>
      <c r="K26" s="16" t="str"/>
      <c r="L26" s="16" t="str"/>
      <c r="M26" s="16" t="str"/>
      <c r="N26" s="22" t="str"/>
      <c r="O26" s="22" t="str"/>
      <c r="P26" s="16" t="str"/>
      <c r="Q26" s="87" t="str"/>
      <c r="R26" s="16" t="str"/>
    </row>
    <row r="27">
      <c r="A27" s="16" t="str"/>
      <c r="B27" s="16" t="str"/>
      <c r="C27" s="16" t="str"/>
      <c r="D27" s="16" t="str"/>
      <c r="E27" s="16" t="str"/>
      <c r="F27" s="16" t="str"/>
      <c r="G27" s="16" t="str"/>
      <c r="H27" s="16" t="str"/>
      <c r="I27" s="16" t="str"/>
      <c r="J27" s="16" t="str"/>
      <c r="K27" s="16" t="str"/>
      <c r="L27" s="16" t="str"/>
      <c r="M27" s="16" t="str"/>
      <c r="N27" s="22" t="str"/>
      <c r="O27" s="22" t="str"/>
      <c r="P27" s="16" t="str"/>
      <c r="Q27" s="87" t="str"/>
      <c r="R27" s="16" t="str"/>
    </row>
    <row r="28">
      <c r="A28" s="16" t="str"/>
      <c r="B28" s="16" t="str"/>
      <c r="C28" s="16" t="str"/>
      <c r="D28" s="16" t="str"/>
      <c r="E28" s="16" t="str"/>
      <c r="F28" s="16" t="str"/>
      <c r="G28" s="16" t="str"/>
      <c r="H28" s="16" t="str"/>
      <c r="I28" s="16" t="str"/>
      <c r="J28" s="16" t="str"/>
      <c r="K28" s="16" t="str"/>
      <c r="L28" s="16" t="str"/>
      <c r="M28" s="16" t="str"/>
      <c r="N28" s="22" t="str"/>
      <c r="O28" s="22" t="str"/>
      <c r="P28" s="16" t="str"/>
      <c r="Q28" s="87" t="str"/>
      <c r="R28" s="16" t="str"/>
    </row>
    <row r="29">
      <c r="A29" s="16" t="str"/>
      <c r="B29" s="16" t="str"/>
      <c r="C29" s="16" t="str"/>
      <c r="D29" s="16" t="str"/>
      <c r="E29" s="16" t="str"/>
      <c r="F29" s="16" t="str"/>
      <c r="G29" s="16" t="str"/>
      <c r="H29" s="16" t="str"/>
      <c r="I29" s="16" t="str"/>
      <c r="J29" s="16" t="str"/>
      <c r="K29" s="16" t="str"/>
      <c r="L29" s="16" t="str"/>
      <c r="M29" s="16" t="str"/>
      <c r="N29" s="22" t="str"/>
      <c r="O29" s="22" t="str"/>
      <c r="P29" s="16" t="str"/>
      <c r="Q29" s="87" t="str"/>
      <c r="R29" s="16" t="str"/>
    </row>
    <row r="30">
      <c r="A30" s="16" t="str"/>
      <c r="B30" s="16" t="str"/>
      <c r="C30" s="16" t="str"/>
      <c r="D30" s="16" t="str"/>
      <c r="E30" s="16" t="str"/>
      <c r="F30" s="16" t="str"/>
      <c r="G30" s="16" t="str"/>
      <c r="H30" s="16" t="str"/>
      <c r="I30" s="16" t="str"/>
      <c r="J30" s="16" t="str"/>
      <c r="K30" s="16" t="str"/>
      <c r="L30" s="16" t="str"/>
      <c r="M30" s="16" t="str"/>
      <c r="N30" s="22" t="str"/>
      <c r="O30" s="22" t="str"/>
      <c r="P30" s="16" t="str"/>
      <c r="Q30" s="87" t="str"/>
      <c r="R30" s="16" t="str"/>
    </row>
    <row r="31">
      <c r="A31" s="16" t="str"/>
      <c r="B31" s="16" t="str"/>
      <c r="C31" s="16" t="str"/>
      <c r="D31" s="16" t="str"/>
      <c r="E31" s="16" t="str"/>
      <c r="F31" s="16" t="str"/>
      <c r="G31" s="16" t="str"/>
      <c r="H31" s="16" t="str"/>
      <c r="I31" s="16" t="str"/>
      <c r="J31" s="16" t="str"/>
      <c r="K31" s="16" t="str"/>
      <c r="L31" s="16" t="str"/>
      <c r="M31" s="16" t="str"/>
      <c r="N31" s="22" t="str"/>
      <c r="O31" s="22" t="str"/>
      <c r="P31" s="16" t="str"/>
      <c r="Q31" s="87" t="str"/>
      <c r="R31" s="16" t="str"/>
    </row>
    <row r="32">
      <c r="A32" s="16" t="str"/>
      <c r="B32" s="16" t="str"/>
      <c r="C32" s="16" t="str"/>
      <c r="D32" s="16" t="str"/>
      <c r="E32" s="16" t="str"/>
      <c r="F32" s="16" t="str"/>
      <c r="G32" s="16" t="str"/>
      <c r="H32" s="16" t="str"/>
      <c r="I32" s="16" t="str"/>
      <c r="J32" s="16" t="str"/>
      <c r="K32" s="16" t="str"/>
      <c r="L32" s="16" t="str"/>
      <c r="M32" s="16" t="str"/>
      <c r="N32" s="22" t="str"/>
      <c r="O32" s="22" t="str"/>
      <c r="P32" s="16" t="str"/>
      <c r="Q32" s="87" t="str"/>
      <c r="R32" s="16" t="str"/>
    </row>
    <row r="33">
      <c r="A33" s="16" t="str"/>
      <c r="B33" s="16" t="str"/>
      <c r="C33" s="16" t="str"/>
      <c r="D33" s="16" t="str"/>
      <c r="E33" s="16" t="str"/>
      <c r="F33" s="16" t="str"/>
      <c r="G33" s="16" t="str"/>
      <c r="H33" s="16" t="str"/>
      <c r="I33" s="16" t="str"/>
      <c r="J33" s="16" t="str"/>
      <c r="K33" s="16" t="str"/>
      <c r="L33" s="16" t="str"/>
      <c r="M33" s="16" t="str"/>
      <c r="N33" s="22" t="str"/>
      <c r="O33" s="22" t="str"/>
      <c r="P33" s="16" t="str"/>
      <c r="Q33" s="87" t="str"/>
      <c r="R33" s="16" t="str"/>
    </row>
    <row r="34">
      <c r="A34" s="16" t="str"/>
      <c r="B34" s="16" t="str"/>
      <c r="C34" s="16" t="str"/>
      <c r="D34" s="16" t="str"/>
      <c r="E34" s="16" t="str"/>
      <c r="F34" s="16" t="str"/>
      <c r="G34" s="16" t="str"/>
      <c r="H34" s="16" t="str"/>
      <c r="I34" s="16" t="str"/>
      <c r="J34" s="16" t="str"/>
      <c r="K34" s="16" t="str"/>
      <c r="L34" s="16" t="str"/>
      <c r="M34" s="16" t="str"/>
      <c r="N34" s="22" t="str"/>
      <c r="O34" s="22" t="str"/>
      <c r="P34" s="16" t="str"/>
      <c r="Q34" s="87" t="str"/>
      <c r="R34" s="16" t="str"/>
    </row>
    <row r="35">
      <c r="A35" s="16" t="str"/>
      <c r="B35" s="16" t="str"/>
      <c r="C35" s="16" t="str"/>
      <c r="D35" s="16" t="str"/>
      <c r="E35" s="16" t="str"/>
      <c r="F35" s="16" t="str"/>
      <c r="G35" s="16" t="str"/>
      <c r="H35" s="16" t="str"/>
      <c r="I35" s="16" t="str"/>
      <c r="J35" s="16" t="str"/>
      <c r="K35" s="16" t="str"/>
      <c r="L35" s="16" t="str"/>
      <c r="M35" s="16" t="str"/>
      <c r="N35" s="22" t="str"/>
      <c r="O35" s="22" t="str"/>
      <c r="P35" s="16" t="str"/>
      <c r="Q35" s="87" t="str"/>
      <c r="R35" s="16" t="str"/>
    </row>
    <row r="36">
      <c r="A36" s="16" t="str"/>
      <c r="B36" s="16" t="str"/>
      <c r="C36" s="16" t="str"/>
      <c r="D36" s="16" t="str"/>
      <c r="E36" s="16" t="str"/>
      <c r="F36" s="16" t="str"/>
      <c r="G36" s="16" t="str"/>
      <c r="H36" s="16" t="str"/>
      <c r="I36" s="16" t="str"/>
      <c r="J36" s="16" t="str"/>
      <c r="K36" s="16" t="str"/>
      <c r="L36" s="16" t="str"/>
      <c r="M36" s="16" t="str"/>
      <c r="N36" s="22" t="str"/>
      <c r="O36" s="22" t="str"/>
      <c r="P36" s="16" t="str"/>
      <c r="Q36" s="87" t="str"/>
      <c r="R36" s="16" t="str"/>
    </row>
    <row r="37">
      <c r="A37" s="16" t="str"/>
      <c r="B37" s="16" t="str"/>
      <c r="C37" s="16" t="str"/>
      <c r="D37" s="16" t="str"/>
      <c r="E37" s="16" t="str"/>
      <c r="F37" s="16" t="str"/>
      <c r="G37" s="16" t="str"/>
      <c r="H37" s="16" t="str"/>
      <c r="I37" s="16" t="str"/>
      <c r="J37" s="16" t="str"/>
      <c r="K37" s="16" t="str"/>
      <c r="L37" s="16" t="str"/>
      <c r="M37" s="16" t="str"/>
      <c r="N37" s="22" t="str"/>
      <c r="O37" s="22" t="str"/>
      <c r="P37" s="16" t="str"/>
      <c r="Q37" s="87" t="str"/>
      <c r="R37" s="16" t="str"/>
    </row>
    <row r="38">
      <c r="A38" s="16" t="str"/>
      <c r="B38" s="16" t="str"/>
      <c r="C38" s="16" t="str"/>
      <c r="D38" s="16" t="str"/>
      <c r="E38" s="16" t="str"/>
      <c r="F38" s="16" t="str"/>
      <c r="G38" s="16" t="str"/>
      <c r="H38" s="16" t="str"/>
      <c r="I38" s="16" t="str"/>
      <c r="J38" s="16" t="str"/>
      <c r="K38" s="16" t="str"/>
      <c r="L38" s="16" t="str"/>
      <c r="M38" s="16" t="str"/>
      <c r="N38" s="22" t="str"/>
      <c r="O38" s="22" t="str"/>
      <c r="P38" s="16" t="str"/>
      <c r="Q38" s="87" t="str"/>
      <c r="R38" s="16" t="str"/>
    </row>
    <row r="39">
      <c r="A39" s="16" t="str"/>
      <c r="B39" s="16" t="str"/>
      <c r="C39" s="16" t="str"/>
      <c r="D39" s="16" t="str"/>
      <c r="E39" s="16" t="str"/>
      <c r="F39" s="16" t="str"/>
      <c r="G39" s="16" t="str"/>
      <c r="H39" s="16" t="str"/>
      <c r="I39" s="16" t="str"/>
      <c r="J39" s="16" t="str"/>
      <c r="K39" s="16" t="str"/>
      <c r="L39" s="16" t="str"/>
      <c r="M39" s="16" t="str"/>
      <c r="N39" s="22" t="str"/>
      <c r="O39" s="22" t="str"/>
      <c r="P39" s="16" t="str"/>
      <c r="Q39" s="87" t="str"/>
      <c r="R39" s="16" t="str"/>
    </row>
    <row r="40">
      <c r="A40" s="16" t="str"/>
      <c r="B40" s="16" t="str"/>
      <c r="C40" s="16" t="str"/>
      <c r="D40" s="16" t="str"/>
      <c r="E40" s="16" t="str"/>
      <c r="F40" s="16" t="str"/>
      <c r="G40" s="16" t="str"/>
      <c r="H40" s="16" t="str"/>
      <c r="I40" s="16" t="str"/>
      <c r="J40" s="16" t="str"/>
      <c r="K40" s="16" t="str"/>
      <c r="L40" s="16" t="str"/>
      <c r="M40" s="16" t="str"/>
      <c r="N40" s="22" t="str"/>
      <c r="O40" s="22" t="str"/>
      <c r="P40" s="16" t="str"/>
      <c r="Q40" s="87" t="str"/>
      <c r="R40" s="16" t="str"/>
    </row>
    <row r="41">
      <c r="A41" s="16" t="str"/>
      <c r="B41" s="16" t="str"/>
      <c r="C41" s="16" t="str"/>
      <c r="D41" s="16" t="str"/>
      <c r="E41" s="16" t="str"/>
      <c r="F41" s="16" t="str"/>
      <c r="G41" s="16" t="str"/>
      <c r="H41" s="16" t="str"/>
      <c r="I41" s="16" t="str"/>
      <c r="J41" s="16" t="str"/>
      <c r="K41" s="16" t="str"/>
      <c r="L41" s="16" t="str"/>
      <c r="M41" s="16" t="str"/>
      <c r="N41" s="22" t="str"/>
      <c r="O41" s="22" t="str"/>
      <c r="P41" s="16" t="str"/>
      <c r="Q41" s="87" t="str"/>
      <c r="R41" s="16" t="str"/>
    </row>
    <row r="42">
      <c r="A42" s="16" t="str"/>
      <c r="B42" s="16" t="str"/>
      <c r="C42" s="16" t="str"/>
      <c r="D42" s="16" t="str"/>
      <c r="E42" s="16" t="str"/>
      <c r="F42" s="16" t="str"/>
      <c r="G42" s="16" t="str"/>
      <c r="H42" s="16" t="str"/>
      <c r="I42" s="16" t="str"/>
      <c r="J42" s="16" t="str"/>
      <c r="K42" s="16" t="str"/>
      <c r="L42" s="16" t="str"/>
      <c r="M42" s="16" t="str"/>
      <c r="N42" s="22" t="str"/>
      <c r="O42" s="22" t="str"/>
      <c r="P42" s="16" t="str"/>
      <c r="Q42" s="87" t="str"/>
      <c r="R42" s="16" t="str"/>
    </row>
    <row r="43">
      <c r="A43" s="16" t="str"/>
      <c r="B43" s="16" t="str"/>
      <c r="C43" s="16" t="str"/>
      <c r="D43" s="16" t="str"/>
      <c r="E43" s="16" t="str"/>
      <c r="F43" s="16" t="str"/>
      <c r="G43" s="16" t="str"/>
      <c r="H43" s="16" t="str"/>
      <c r="I43" s="16" t="str"/>
      <c r="J43" s="16" t="str"/>
      <c r="K43" s="16" t="str"/>
      <c r="L43" s="16" t="str"/>
      <c r="M43" s="16" t="str"/>
      <c r="N43" s="22" t="str"/>
      <c r="O43" s="22" t="str"/>
      <c r="P43" s="16" t="str"/>
      <c r="Q43" s="87" t="str"/>
      <c r="R43" s="16" t="str"/>
    </row>
    <row r="44">
      <c r="A44" s="16" t="str"/>
      <c r="B44" s="16" t="str"/>
      <c r="C44" s="16" t="str"/>
      <c r="D44" s="16" t="str"/>
      <c r="E44" s="16" t="str"/>
      <c r="F44" s="16" t="str"/>
      <c r="G44" s="16" t="str"/>
      <c r="H44" s="16" t="str"/>
      <c r="I44" s="16" t="str"/>
      <c r="J44" s="16" t="str"/>
      <c r="K44" s="16" t="str"/>
      <c r="L44" s="16" t="str"/>
      <c r="M44" s="16" t="str"/>
      <c r="N44" s="22" t="str"/>
      <c r="O44" s="22" t="str"/>
      <c r="P44" s="16" t="str"/>
      <c r="Q44" s="87" t="str"/>
      <c r="R44" s="16" t="str"/>
    </row>
    <row r="45">
      <c r="A45" s="16" t="str"/>
      <c r="B45" s="16" t="str"/>
      <c r="C45" s="16" t="str"/>
      <c r="D45" s="16" t="str"/>
      <c r="E45" s="16" t="str"/>
      <c r="F45" s="16" t="str"/>
      <c r="G45" s="16" t="str"/>
      <c r="H45" s="16" t="str"/>
      <c r="I45" s="16" t="str"/>
      <c r="J45" s="16" t="str"/>
      <c r="K45" s="16" t="str"/>
      <c r="L45" s="16" t="str"/>
      <c r="M45" s="16" t="str"/>
      <c r="N45" s="22" t="str"/>
      <c r="O45" s="22" t="str"/>
      <c r="P45" s="16" t="str"/>
      <c r="Q45" s="87" t="str"/>
      <c r="R45" s="16" t="str"/>
    </row>
    <row r="46">
      <c r="A46" s="16" t="str"/>
      <c r="B46" s="16" t="str"/>
      <c r="C46" s="16" t="str"/>
      <c r="D46" s="16" t="str"/>
      <c r="E46" s="16" t="str"/>
      <c r="F46" s="16" t="str"/>
      <c r="G46" s="16" t="str"/>
      <c r="H46" s="16" t="str"/>
      <c r="I46" s="16" t="str"/>
      <c r="J46" s="16" t="str"/>
      <c r="K46" s="16" t="str"/>
      <c r="L46" s="16" t="str"/>
      <c r="M46" s="16" t="str"/>
      <c r="N46" s="22" t="str"/>
      <c r="O46" s="22" t="str"/>
      <c r="P46" s="16" t="str"/>
      <c r="Q46" s="87" t="str"/>
      <c r="R46" s="16" t="str"/>
    </row>
    <row r="47">
      <c r="A47" s="16" t="str"/>
      <c r="B47" s="16" t="str"/>
      <c r="C47" s="16" t="str"/>
      <c r="D47" s="16" t="str"/>
      <c r="E47" s="16" t="str"/>
      <c r="F47" s="16" t="str"/>
      <c r="G47" s="16" t="str"/>
      <c r="H47" s="16" t="str"/>
      <c r="I47" s="16" t="str"/>
      <c r="J47" s="16" t="str"/>
      <c r="K47" s="16" t="str"/>
      <c r="L47" s="16" t="str"/>
      <c r="M47" s="16" t="str"/>
      <c r="N47" s="22" t="str"/>
      <c r="O47" s="22" t="str"/>
      <c r="P47" s="16" t="str"/>
      <c r="Q47" s="87" t="str"/>
      <c r="R47" s="16" t="str"/>
    </row>
    <row r="48">
      <c r="A48" s="16" t="str"/>
      <c r="B48" s="16" t="str"/>
      <c r="C48" s="16" t="str"/>
      <c r="D48" s="16" t="str"/>
      <c r="E48" s="16" t="str"/>
      <c r="F48" s="16" t="str"/>
      <c r="G48" s="16" t="str"/>
      <c r="H48" s="16" t="str"/>
      <c r="I48" s="16" t="str"/>
      <c r="J48" s="16" t="str"/>
      <c r="K48" s="16" t="str"/>
      <c r="L48" s="16" t="str"/>
      <c r="M48" s="16" t="str"/>
      <c r="N48" s="22" t="str"/>
      <c r="O48" s="22" t="str"/>
      <c r="P48" s="16" t="str"/>
      <c r="Q48" s="87" t="str"/>
      <c r="R48" s="16" t="str"/>
    </row>
    <row r="49">
      <c r="A49" s="16" t="str"/>
      <c r="B49" s="16" t="str"/>
      <c r="C49" s="16" t="str"/>
      <c r="D49" s="16" t="str"/>
      <c r="E49" s="16" t="str"/>
      <c r="F49" s="16" t="str"/>
      <c r="G49" s="16" t="str"/>
      <c r="H49" s="16" t="str"/>
      <c r="I49" s="16" t="str"/>
      <c r="J49" s="16" t="str"/>
      <c r="K49" s="16" t="str"/>
      <c r="L49" s="16" t="str"/>
      <c r="M49" s="16" t="str"/>
      <c r="N49" s="22" t="str"/>
      <c r="O49" s="22" t="str"/>
      <c r="P49" s="16" t="str"/>
      <c r="Q49" s="87" t="str"/>
      <c r="R49" s="16" t="str"/>
    </row>
    <row r="50">
      <c r="A50" s="16" t="str"/>
      <c r="B50" s="16" t="str"/>
      <c r="C50" s="16" t="str"/>
      <c r="D50" s="16" t="str"/>
      <c r="E50" s="16" t="str"/>
      <c r="F50" s="16" t="str"/>
      <c r="G50" s="16" t="str"/>
      <c r="H50" s="16" t="str"/>
      <c r="I50" s="16" t="str"/>
      <c r="J50" s="16" t="str"/>
      <c r="K50" s="16" t="str"/>
      <c r="L50" s="16" t="str"/>
      <c r="M50" s="16" t="str"/>
      <c r="N50" s="22" t="str"/>
      <c r="O50" s="22" t="str"/>
      <c r="P50" s="16" t="str"/>
      <c r="Q50" s="87" t="str"/>
      <c r="R50" s="16" t="str"/>
    </row>
    <row r="51">
      <c r="A51" s="16" t="str"/>
      <c r="B51" s="16" t="str"/>
      <c r="C51" s="16" t="str"/>
      <c r="D51" s="16" t="str"/>
      <c r="E51" s="16" t="str"/>
      <c r="F51" s="16" t="str"/>
      <c r="G51" s="16" t="str"/>
      <c r="H51" s="16" t="str"/>
      <c r="I51" s="16" t="str"/>
      <c r="J51" s="16" t="str"/>
      <c r="K51" s="16" t="str"/>
      <c r="L51" s="16" t="str"/>
      <c r="M51" s="16" t="str"/>
      <c r="N51" s="22" t="str"/>
      <c r="O51" s="22" t="str"/>
      <c r="P51" s="16" t="str"/>
      <c r="Q51" s="87" t="str"/>
      <c r="R51" s="16" t="str"/>
    </row>
  </sheetData>
  <conditionalFormatting sqref="L2:L51">
    <cfRule type="expression" priority="1" dxfId="0">
      <formula>L2="Verified"</formula>
    </cfRule>
    <cfRule type="expression" priority="2" dxfId="3">
      <formula>L2="Flagged"</formula>
    </cfRule>
    <cfRule type="expression" priority="3" dxfId="2">
      <formula>L2="Ready for Review"</formula>
    </cfRule>
  </conditionalFormatting>
  <dataValidations count="8">
    <dataValidation sqref="D2:D51" showDropDown="0" showInputMessage="0" showErrorMessage="0" allowBlank="0" type="list">
      <formula1>"Blister strip,Tablet box/carton,Bottle label,Syrup carton,Composition panel,Other"</formula1>
    </dataValidation>
    <dataValidation sqref="G2:G51" showDropDown="0" showInputMessage="0" showErrorMessage="0" allowBlank="0" type="list">
      <formula1>"Self-photographed,Manufacturer website,Official reference,Public dataset,Other"</formula1>
    </dataValidation>
    <dataValidation sqref="I2:I51" showDropDown="0" showInputMessage="0" showErrorMessage="0" allowBlank="0" type="list">
      <formula1>"Yes,No,Pending"</formula1>
    </dataValidation>
    <dataValidation sqref="J2:J51" showDropDown="0" showInputMessage="0" showErrorMessage="0" allowBlank="0" type="list">
      <formula1>"No,Yes"</formula1>
    </dataValidation>
    <dataValidation sqref="N2:N51" showDropDown="0" showInputMessage="0" showErrorMessage="0" allowBlank="0" type="list">
      <formula1>"Yes,No,Pending"</formula1>
    </dataValidation>
    <dataValidation sqref="O2:O51" showDropDown="0" showInputMessage="0" showErrorMessage="0" allowBlank="0" type="list">
      <formula1>"Yes,No,Pending"</formula1>
    </dataValidation>
    <dataValidation sqref="L2:L51" showDropDown="0" showInputMessage="0" showErrorMessage="0" allowBlank="0" type="list">
      <formula1>"Not Started,Draft,Ready for Review,Verified,Flagged"</formula1>
    </dataValidation>
    <dataValidation sqref="P2:P51" showDropDown="0" showInputMessage="0" showErrorMessage="0" allowBlank="0" type="list">
      <formula1>"Train,Validation,Test,Excluded,Unassigned"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3" customWidth="1" min="1" max="1"/>
    <col width="54" customWidth="1" min="2" max="2"/>
    <col width="62" customWidth="1" min="3" max="3"/>
  </cols>
  <sheetData>
    <row r="1">
      <c r="A1" s="1" t="inlineStr">
        <is>
          <t>MEDLENS TRACKER | QUICK GUIDE</t>
        </is>
      </c>
      <c r="B1" s="1" t="n"/>
      <c r="C1" s="1" t="n"/>
      <c r="D1" s="1" t="n"/>
      <c r="E1" s="1" t="n"/>
      <c r="F1" s="1" t="n"/>
    </row>
    <row r="2">
      <c r="A2" s="1" t="inlineStr">
        <is>
          <t>Use this workbook to track implementation, dataset collection and acceptance evidence through 27 November 2026.</t>
        </is>
      </c>
      <c r="B2" s="1" t="n"/>
      <c r="C2" s="1" t="n"/>
      <c r="D2" s="1" t="n"/>
      <c r="E2" s="1" t="n"/>
      <c r="F2" s="1" t="n"/>
    </row>
    <row r="4" ht="28" customHeight="1">
      <c r="A4" s="8" t="inlineStr">
        <is>
          <t>Field / Sheet</t>
        </is>
      </c>
      <c r="B4" s="8" t="inlineStr">
        <is>
          <t>What to do</t>
        </is>
      </c>
      <c r="C4" s="8" t="inlineStr">
        <is>
          <t>Important rule</t>
        </is>
      </c>
    </row>
    <row r="5">
      <c r="A5" s="16" t="inlineStr">
        <is>
          <t>Dashboard</t>
        </is>
      </c>
      <c r="B5" s="16" t="inlineStr">
        <is>
          <t>Check overall counts and deadline milestones.</t>
        </is>
      </c>
      <c r="C5" s="16" t="inlineStr">
        <is>
          <t>Counts update from the Status column in Master Checklist.</t>
        </is>
      </c>
    </row>
    <row r="6">
      <c r="A6" s="16" t="inlineStr">
        <is>
          <t>Master Checklist</t>
        </is>
      </c>
      <c r="B6" s="16" t="inlineStr">
        <is>
          <t>Work top-to-bottom by priority and target date; update Status using dropdown.</t>
        </is>
      </c>
      <c r="C6" s="16" t="inlineStr">
        <is>
          <t>Set Done only when the acceptance criteria are met and tested.</t>
        </is>
      </c>
    </row>
    <row r="7">
      <c r="A7" s="16" t="inlineStr">
        <is>
          <t>Needs Verification</t>
        </is>
      </c>
      <c r="B7" s="16" t="inlineStr">
        <is>
          <t>Use for features Antigravity reports as complete but that you have not personally verified.</t>
        </is>
      </c>
      <c r="C7" s="16" t="inlineStr">
        <is>
          <t>Do not treat agent-generated summaries as independent proof.</t>
        </is>
      </c>
    </row>
    <row r="8">
      <c r="A8" s="16" t="inlineStr">
        <is>
          <t>Evidence / File / Link</t>
        </is>
      </c>
      <c r="B8" s="16" t="inlineStr">
        <is>
          <t>Record test output, file paths, commit links, screenshots or API results.</t>
        </is>
      </c>
      <c r="C8" s="16" t="inlineStr">
        <is>
          <t>Evidence should match the current branch/commit.</t>
        </is>
      </c>
    </row>
    <row r="9">
      <c r="A9" s="16" t="inlineStr">
        <is>
          <t>Dataset Log</t>
        </is>
      </c>
      <c r="B9" s="16" t="inlineStr">
        <is>
          <t>Add one row for each image or crop; use consistent Product Family IDs for the same medicine.</t>
        </is>
      </c>
      <c r="C9" s="16" t="inlineStr">
        <is>
          <t>Keep original images unchanged and record source/permission.</t>
        </is>
      </c>
    </row>
    <row r="10">
      <c r="A10" s="16" t="inlineStr">
        <is>
          <t>Human verification</t>
        </is>
      </c>
      <c r="B10" s="16" t="inlineStr">
        <is>
          <t>Review text against the actual image and mark true only after checking.</t>
        </is>
      </c>
      <c r="C10" s="16" t="inlineStr">
        <is>
          <t>Schema validity does not establish clinical ground truth.</t>
        </is>
      </c>
    </row>
    <row r="11">
      <c r="A11" s="16" t="inlineStr">
        <is>
          <t>Synthetic fixture</t>
        </is>
      </c>
      <c r="B11" s="16" t="inlineStr">
        <is>
          <t>Mark synthetic examples Yes and use them only for unit tests.</t>
        </is>
      </c>
      <c r="C11" s="16" t="inlineStr">
        <is>
          <t>Never include synthetic fixtures in real-world train/validation/test evaluation.</t>
        </is>
      </c>
    </row>
    <row r="12">
      <c r="A12" s="16" t="inlineStr">
        <is>
          <t>Eligible for training</t>
        </is>
      </c>
      <c r="B12" s="16" t="inlineStr">
        <is>
          <t>Mark Yes only for genuine, appropriately sourced images with reviewed annotations.</t>
        </is>
      </c>
      <c r="C12" s="16" t="inlineStr">
        <is>
          <t>Unverified annotations must stay excluded.</t>
        </is>
      </c>
    </row>
    <row r="13">
      <c r="A13" s="16" t="inlineStr">
        <is>
          <t>Dataset split</t>
        </is>
      </c>
      <c r="B13" s="16" t="inlineStr">
        <is>
          <t>Keep all images of the same product family in the same split.</t>
        </is>
      </c>
      <c r="C13" s="16" t="inlineStr">
        <is>
          <t>Avoid near-duplicate leakage between train/validation/test.</t>
        </is>
      </c>
    </row>
    <row r="14">
      <c r="A14" s="16" t="inlineStr">
        <is>
          <t>Deadline</t>
        </is>
      </c>
      <c r="B14" s="16" t="inlineStr">
        <is>
          <t>Use target dates as planning targets; revise if a dependency blocks work.</t>
        </is>
      </c>
      <c r="C14" s="16" t="inlineStr">
        <is>
          <t>Protect time for end-to-end testing before 27-Nov-2026.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2026-10-28T10:49:27Z</dcterms:created>
  <dcterms:modified xmlns:dcterms="http://purl.org/dc/terms/" xmlns:xsi="http://www.w3.org/2001/XMLSchema-instance" xsi:type="dcterms:W3CDTF">2026-11-01T13:01:51Z</dcterms:modified>
</cp:coreProperties>
</file>